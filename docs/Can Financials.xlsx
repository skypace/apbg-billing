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rixbev-my.sharepoint.com/personal/skypace_brixbev_com/Documents/Brix Beverage Main/Can Project/"/>
    </mc:Choice>
  </mc:AlternateContent>
  <xr:revisionPtr revIDLastSave="1819" documentId="13_ncr:1_{7A470865-1AEB-49E9-B222-9FF2AC546620}" xr6:coauthVersionLast="47" xr6:coauthVersionMax="47" xr10:uidLastSave="{7EC23196-6CE4-4518-869F-759CEB105DA6}"/>
  <bookViews>
    <workbookView xWindow="-108" yWindow="-108" windowWidth="23256" windowHeight="12456" firstSheet="1" activeTab="3" xr2:uid="{DB38157C-7BAE-9A45-BF79-7DFE6A037C66}"/>
  </bookViews>
  <sheets>
    <sheet name="NEW PRODUCTION" sheetId="26" r:id="rId1"/>
    <sheet name="Paktech Pricing 2025" sheetId="25" r:id="rId2"/>
    <sheet name="Quantum Run 02-23-26 line items" sheetId="29" r:id="rId3"/>
    <sheet name="Quantum Run 11-06-25 line items" sheetId="28" r:id="rId4"/>
    <sheet name="Quantum Run 04042025 line items" sheetId="24" r:id="rId5"/>
    <sheet name="Quantum Run 04042025" sheetId="20" r:id="rId6"/>
    <sheet name="Post run totals from Cali 06.05" sheetId="23" r:id="rId7"/>
    <sheet name="POSTRUN INVEN FRM CALI 06.05" sheetId="21" r:id="rId8"/>
    <sheet name="DELETE Quantum Run 03-25-2025 " sheetId="18" r:id="rId9"/>
    <sheet name="01-30-2025 Quantum Run" sheetId="16" r:id="rId10"/>
    <sheet name="11-18-2024 Production Run" sheetId="11" r:id="rId11"/>
    <sheet name="Excess worksheet 11-26-2024" sheetId="15" r:id="rId12"/>
    <sheet name="05-10-2024 Production Run" sheetId="13" r:id="rId13"/>
    <sheet name="01-23-204 Production Run" sheetId="14" r:id="rId14"/>
    <sheet name="Metalworks 2024Credit Worksheet" sheetId="10" r:id="rId15"/>
    <sheet name="CANS METALWORKS" sheetId="1" r:id="rId16"/>
    <sheet name="RAW INGREDIENTS" sheetId="5" r:id="rId17"/>
    <sheet name="Notes" sheetId="6" r:id="rId18"/>
    <sheet name="McNnerney" sheetId="7" r:id="rId19"/>
    <sheet name="Better Beverage" sheetId="8" r:id="rId20"/>
  </sheets>
  <definedNames>
    <definedName name="_xlnm._FilterDatabase" localSheetId="4" hidden="1">'Quantum Run 04042025 line items'!$D$1:$D$63</definedName>
  </definedNames>
  <calcPr calcId="191028"/>
  <pivotCaches>
    <pivotCache cacheId="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9" l="1"/>
  <c r="D26" i="29"/>
  <c r="D20" i="29"/>
  <c r="E20" i="29" s="1"/>
  <c r="Q40" i="28"/>
  <c r="Q38" i="28"/>
  <c r="J40" i="28"/>
  <c r="K40" i="28" s="1"/>
  <c r="K36" i="28"/>
  <c r="M53" i="28"/>
  <c r="M52" i="28"/>
  <c r="M51" i="28"/>
  <c r="M50" i="28"/>
  <c r="M49" i="28"/>
  <c r="M48" i="28"/>
  <c r="M47" i="28"/>
  <c r="K54" i="28"/>
  <c r="L54" i="28"/>
  <c r="L34" i="28"/>
  <c r="L42" i="28"/>
  <c r="J41" i="28"/>
  <c r="J36" i="28"/>
  <c r="H6" i="28"/>
  <c r="J39" i="28" s="1"/>
  <c r="I3" i="28"/>
  <c r="I4" i="28" s="1"/>
  <c r="M54" i="28" l="1"/>
  <c r="H24" i="28"/>
  <c r="H28" i="28" s="1"/>
  <c r="J56" i="24"/>
  <c r="H55" i="24"/>
  <c r="I56" i="24"/>
  <c r="H56" i="24"/>
  <c r="I18" i="28"/>
  <c r="I19" i="28" s="1"/>
  <c r="I20" i="28" s="1"/>
  <c r="I21" i="28" s="1"/>
  <c r="I22" i="28" s="1"/>
  <c r="I23" i="28" s="1"/>
  <c r="I24" i="28" s="1"/>
  <c r="I25" i="28"/>
  <c r="J35" i="28"/>
  <c r="J38" i="28"/>
  <c r="J37" i="28"/>
  <c r="J60" i="28"/>
  <c r="K60" i="28" s="1"/>
  <c r="K34" i="28" s="1"/>
  <c r="K59" i="28"/>
  <c r="K58" i="28"/>
  <c r="K57" i="28"/>
  <c r="M40" i="28" l="1"/>
  <c r="K39" i="28"/>
  <c r="M39" i="28" s="1"/>
  <c r="K41" i="28"/>
  <c r="M41" i="28" s="1"/>
  <c r="K37" i="28"/>
  <c r="M37" i="28" s="1"/>
  <c r="K61" i="28"/>
  <c r="K62" i="28" s="1"/>
  <c r="K38" i="28"/>
  <c r="M38" i="28" s="1"/>
  <c r="M36" i="28"/>
  <c r="K35" i="28"/>
  <c r="M35" i="28" s="1"/>
  <c r="J8" i="26"/>
  <c r="F8" i="26"/>
  <c r="J7" i="26"/>
  <c r="F7" i="26"/>
  <c r="B7" i="26"/>
  <c r="M31" i="24"/>
  <c r="J31" i="24"/>
  <c r="K31" i="24" s="1"/>
  <c r="L31" i="24" s="1"/>
  <c r="Q6" i="25"/>
  <c r="I118" i="11"/>
  <c r="K42" i="28" l="1"/>
  <c r="M42" i="28" s="1"/>
  <c r="I117" i="11"/>
  <c r="I116" i="11"/>
  <c r="I115" i="11"/>
  <c r="I114" i="11"/>
  <c r="I113" i="11"/>
  <c r="I112" i="11"/>
  <c r="J118" i="11" s="1"/>
  <c r="J119" i="11" s="1"/>
  <c r="H121" i="11"/>
  <c r="H118" i="11"/>
  <c r="H119" i="11"/>
  <c r="K47" i="11"/>
  <c r="H51" i="11"/>
  <c r="J3" i="26"/>
  <c r="J4" i="26" s="1"/>
  <c r="J5" i="26" s="1"/>
  <c r="F3" i="26"/>
  <c r="F4" i="26" s="1"/>
  <c r="F5" i="26" s="1"/>
  <c r="B3" i="26"/>
  <c r="B4" i="26" s="1"/>
  <c r="B5" i="26" s="1"/>
  <c r="B8" i="26" s="1"/>
  <c r="I77" i="24" l="1"/>
  <c r="J77" i="24" s="1"/>
  <c r="L13" i="25"/>
  <c r="L8" i="25"/>
  <c r="J12" i="25"/>
  <c r="P11" i="25"/>
  <c r="J11" i="25"/>
  <c r="L11" i="25" s="1"/>
  <c r="L7" i="25"/>
  <c r="P6" i="25"/>
  <c r="O6" i="25"/>
  <c r="M6" i="25"/>
  <c r="L6" i="25"/>
  <c r="J6" i="25"/>
  <c r="H6" i="25"/>
  <c r="H75" i="24"/>
  <c r="G75" i="24"/>
  <c r="G74" i="24"/>
  <c r="G73" i="24"/>
  <c r="G72" i="24"/>
  <c r="H68" i="24"/>
  <c r="H57" i="24"/>
  <c r="H52" i="24"/>
  <c r="H53" i="24"/>
  <c r="H58" i="24"/>
  <c r="G57" i="24"/>
  <c r="G55" i="24"/>
  <c r="H54" i="24"/>
  <c r="H73" i="24" s="1"/>
  <c r="G54" i="24"/>
  <c r="G53" i="24"/>
  <c r="H49" i="24"/>
  <c r="K19" i="24"/>
  <c r="I3" i="24"/>
  <c r="K3" i="24" s="1"/>
  <c r="H34" i="24"/>
  <c r="H36" i="24"/>
  <c r="H74" i="24" s="1"/>
  <c r="M4" i="23"/>
  <c r="M16" i="23"/>
  <c r="F7" i="23"/>
  <c r="E21" i="23"/>
  <c r="H6" i="23"/>
  <c r="I6" i="23"/>
  <c r="D7" i="23"/>
  <c r="D12" i="23"/>
  <c r="E12" i="23" s="1"/>
  <c r="D15" i="23"/>
  <c r="E15" i="23" s="1"/>
  <c r="D18" i="23"/>
  <c r="E18" i="23" s="1"/>
  <c r="D21" i="23"/>
  <c r="D26" i="23"/>
  <c r="E29" i="23" l="1"/>
  <c r="H38" i="24" s="1"/>
  <c r="H61" i="24" s="1"/>
  <c r="I55" i="24" s="1"/>
  <c r="J55" i="24" s="1"/>
  <c r="H3" i="23"/>
  <c r="D27" i="23"/>
  <c r="E26" i="23"/>
  <c r="H76" i="24"/>
  <c r="H71" i="24"/>
  <c r="H72" i="24"/>
  <c r="H37" i="24"/>
  <c r="H60" i="24"/>
  <c r="H4" i="23"/>
  <c r="H5" i="23"/>
  <c r="I3" i="23"/>
  <c r="J9" i="21"/>
  <c r="J10" i="21"/>
  <c r="J11" i="21"/>
  <c r="J12" i="21"/>
  <c r="J13" i="21"/>
  <c r="I14" i="21"/>
  <c r="J14" i="21"/>
  <c r="J15" i="21"/>
  <c r="J16" i="21"/>
  <c r="O18" i="21"/>
  <c r="I19" i="21"/>
  <c r="J19" i="21" s="1"/>
  <c r="K19" i="21" s="1"/>
  <c r="M19" i="21" s="1"/>
  <c r="O19" i="21"/>
  <c r="I20" i="21"/>
  <c r="J20" i="21"/>
  <c r="K20" i="21"/>
  <c r="M20" i="21"/>
  <c r="O20" i="21"/>
  <c r="O21" i="21"/>
  <c r="O22" i="21"/>
  <c r="I23" i="21"/>
  <c r="J23" i="21" s="1"/>
  <c r="K23" i="21" s="1"/>
  <c r="M23" i="21" s="1"/>
  <c r="O23" i="21"/>
  <c r="I24" i="21"/>
  <c r="J24" i="21"/>
  <c r="K24" i="21" s="1"/>
  <c r="M24" i="21" s="1"/>
  <c r="M25" i="21" s="1"/>
  <c r="O24" i="21"/>
  <c r="K25" i="21"/>
  <c r="O25" i="21"/>
  <c r="K26" i="21"/>
  <c r="O26" i="21"/>
  <c r="I27" i="21"/>
  <c r="J27" i="21"/>
  <c r="K27" i="21"/>
  <c r="M27" i="21" s="1"/>
  <c r="M28" i="21" s="1"/>
  <c r="O27" i="21"/>
  <c r="K28" i="21"/>
  <c r="O28" i="21"/>
  <c r="K29" i="21"/>
  <c r="O29" i="21"/>
  <c r="I30" i="21"/>
  <c r="J30" i="21" s="1"/>
  <c r="K30" i="21" s="1"/>
  <c r="M30" i="21" s="1"/>
  <c r="M31" i="21" s="1"/>
  <c r="O30" i="21"/>
  <c r="K31" i="21"/>
  <c r="O31" i="21"/>
  <c r="K32" i="21"/>
  <c r="O32" i="21"/>
  <c r="J33" i="21"/>
  <c r="K33" i="21"/>
  <c r="M33" i="21" s="1"/>
  <c r="M34" i="21" s="1"/>
  <c r="O33" i="21"/>
  <c r="K34" i="21"/>
  <c r="O34" i="21"/>
  <c r="K35" i="21"/>
  <c r="O35" i="21"/>
  <c r="J36" i="21"/>
  <c r="K36" i="21"/>
  <c r="M36" i="21"/>
  <c r="O36" i="21"/>
  <c r="K37" i="21"/>
  <c r="M37" i="21"/>
  <c r="O37" i="21"/>
  <c r="J39" i="21"/>
  <c r="K39" i="21"/>
  <c r="M39" i="21"/>
  <c r="O39" i="21"/>
  <c r="K40" i="21"/>
  <c r="M40" i="21"/>
  <c r="O40" i="21"/>
  <c r="K41" i="21"/>
  <c r="O41" i="21"/>
  <c r="I42" i="21"/>
  <c r="J42" i="21"/>
  <c r="K42" i="21"/>
  <c r="M42" i="21" s="1"/>
  <c r="M43" i="21" s="1"/>
  <c r="O42" i="21"/>
  <c r="K43" i="21"/>
  <c r="O43" i="21"/>
  <c r="K44" i="21"/>
  <c r="O44" i="21"/>
  <c r="J45" i="21"/>
  <c r="K45" i="21" s="1"/>
  <c r="M45" i="21" s="1"/>
  <c r="O45" i="21"/>
  <c r="J46" i="21"/>
  <c r="K46" i="21"/>
  <c r="M46" i="21"/>
  <c r="O46" i="21"/>
  <c r="J47" i="21"/>
  <c r="K47" i="21" s="1"/>
  <c r="M47" i="21" s="1"/>
  <c r="O47" i="21"/>
  <c r="J48" i="21"/>
  <c r="K48" i="21"/>
  <c r="M48" i="21"/>
  <c r="O48" i="21"/>
  <c r="J49" i="21"/>
  <c r="K49" i="21" s="1"/>
  <c r="M49" i="21" s="1"/>
  <c r="O49" i="21"/>
  <c r="O50" i="21"/>
  <c r="J52" i="21"/>
  <c r="K52" i="21"/>
  <c r="M52" i="21"/>
  <c r="O52" i="21"/>
  <c r="O53" i="21"/>
  <c r="O55" i="21"/>
  <c r="I57" i="24" l="1"/>
  <c r="I71" i="24"/>
  <c r="J71" i="24" s="1"/>
  <c r="I75" i="24"/>
  <c r="J75" i="24" s="1"/>
  <c r="I52" i="24"/>
  <c r="H79" i="24"/>
  <c r="I76" i="24"/>
  <c r="J76" i="24" s="1"/>
  <c r="I74" i="24"/>
  <c r="J74" i="24" s="1"/>
  <c r="K4" i="24"/>
  <c r="I73" i="24"/>
  <c r="J73" i="24" s="1"/>
  <c r="I53" i="24"/>
  <c r="H39" i="24"/>
  <c r="I54" i="24"/>
  <c r="I58" i="24"/>
  <c r="J58" i="24" s="1"/>
  <c r="I72" i="24"/>
  <c r="J72" i="24" s="1"/>
  <c r="P3" i="23"/>
  <c r="Q3" i="23" s="1"/>
  <c r="K3" i="23"/>
  <c r="J3" i="23"/>
  <c r="N3" i="23"/>
  <c r="H62" i="24"/>
  <c r="H64" i="24" s="1"/>
  <c r="I60" i="24"/>
  <c r="J60" i="24" s="1"/>
  <c r="H78" i="24"/>
  <c r="I78" i="24"/>
  <c r="J78" i="24" s="1"/>
  <c r="H9" i="23"/>
  <c r="H11" i="23" s="1"/>
  <c r="I4" i="23"/>
  <c r="I5" i="23"/>
  <c r="M50" i="21"/>
  <c r="L79" i="20"/>
  <c r="B72" i="20"/>
  <c r="B71" i="20"/>
  <c r="L76" i="20" s="1"/>
  <c r="L84" i="20" s="1"/>
  <c r="H80" i="24" l="1"/>
  <c r="H82" i="24" s="1"/>
  <c r="J52" i="24"/>
  <c r="J54" i="24"/>
  <c r="J53" i="24"/>
  <c r="J57" i="24"/>
  <c r="I9" i="23"/>
  <c r="I11" i="23" s="1"/>
  <c r="L80" i="20"/>
  <c r="L82" i="20"/>
  <c r="L83" i="20"/>
  <c r="L85" i="20" l="1"/>
  <c r="L86" i="20" s="1"/>
  <c r="L88" i="20" s="1"/>
  <c r="G50" i="18" l="1"/>
  <c r="D72" i="18"/>
  <c r="E71" i="18"/>
  <c r="E74" i="18" s="1"/>
  <c r="E75" i="18" s="1"/>
  <c r="G87" i="18"/>
  <c r="H87" i="18" s="1"/>
  <c r="F87" i="18"/>
  <c r="E72" i="18" l="1"/>
  <c r="E73" i="18" s="1"/>
  <c r="G26" i="20"/>
  <c r="H26" i="20" s="1"/>
  <c r="I26" i="20" s="1"/>
  <c r="A27" i="20"/>
  <c r="B27" i="20"/>
  <c r="P27" i="20"/>
  <c r="A28" i="20"/>
  <c r="B28" i="20"/>
  <c r="P28" i="20"/>
  <c r="A29" i="20"/>
  <c r="B29" i="20"/>
  <c r="P29" i="20"/>
  <c r="AH29" i="20"/>
  <c r="AI29" i="20" s="1"/>
  <c r="A30" i="20"/>
  <c r="B30" i="20"/>
  <c r="P30" i="20"/>
  <c r="AH30" i="20"/>
  <c r="AI30" i="20" s="1"/>
  <c r="A31" i="20"/>
  <c r="B31" i="20"/>
  <c r="P31" i="20"/>
  <c r="AH31" i="20"/>
  <c r="AI31" i="20" s="1"/>
  <c r="A32" i="20"/>
  <c r="B32" i="20"/>
  <c r="P32" i="20"/>
  <c r="AH32" i="20"/>
  <c r="AI32" i="20" s="1"/>
  <c r="AH33" i="20"/>
  <c r="AI33" i="20" s="1"/>
  <c r="AG34" i="20"/>
  <c r="AH34" i="20" s="1"/>
  <c r="AE35" i="20"/>
  <c r="B38" i="20"/>
  <c r="B42" i="20"/>
  <c r="D42" i="20" s="1"/>
  <c r="B43" i="20"/>
  <c r="F43" i="20" s="1"/>
  <c r="G43" i="20" s="1"/>
  <c r="H43" i="20" s="1"/>
  <c r="B44" i="20"/>
  <c r="F44" i="20"/>
  <c r="B45" i="20"/>
  <c r="D45" i="20" s="1"/>
  <c r="B46" i="20"/>
  <c r="D46" i="20" s="1"/>
  <c r="B47" i="20"/>
  <c r="F47" i="20" s="1"/>
  <c r="G47" i="20" s="1"/>
  <c r="H47" i="20" s="1"/>
  <c r="C48" i="20"/>
  <c r="C47" i="18"/>
  <c r="C46" i="18"/>
  <c r="C45" i="18"/>
  <c r="C44" i="18"/>
  <c r="C43" i="18"/>
  <c r="C42" i="18"/>
  <c r="D98" i="18"/>
  <c r="D99" i="18"/>
  <c r="D97" i="18"/>
  <c r="D105" i="18"/>
  <c r="F90" i="18"/>
  <c r="F97" i="18"/>
  <c r="F98" i="18" s="1"/>
  <c r="B98" i="18" s="1"/>
  <c r="K99" i="18"/>
  <c r="K100" i="18" s="1"/>
  <c r="H47" i="16"/>
  <c r="H44" i="16"/>
  <c r="E61" i="18"/>
  <c r="B38" i="18"/>
  <c r="A76" i="18"/>
  <c r="A78" i="18" s="1"/>
  <c r="A79" i="18" s="1"/>
  <c r="A32" i="18"/>
  <c r="A31" i="18"/>
  <c r="A30" i="18"/>
  <c r="A29" i="18"/>
  <c r="A28" i="18"/>
  <c r="A27" i="18"/>
  <c r="AJ30" i="18"/>
  <c r="AK30" i="18" s="1"/>
  <c r="AJ31" i="18"/>
  <c r="AK31" i="18" s="1"/>
  <c r="AJ32" i="18"/>
  <c r="AK32" i="18" s="1"/>
  <c r="AJ33" i="18"/>
  <c r="AK33" i="18" s="1"/>
  <c r="AI34" i="18"/>
  <c r="AJ34" i="18" s="1"/>
  <c r="AJ29" i="18"/>
  <c r="AK29" i="18" s="1"/>
  <c r="AG35" i="18"/>
  <c r="B31" i="18"/>
  <c r="I26" i="18"/>
  <c r="J26" i="18" s="1"/>
  <c r="K26" i="18" s="1"/>
  <c r="L26" i="18" s="1"/>
  <c r="M26" i="18" s="1"/>
  <c r="N26" i="18" s="1"/>
  <c r="O26" i="18" s="1"/>
  <c r="E47" i="20" l="1"/>
  <c r="E43" i="20"/>
  <c r="D47" i="20"/>
  <c r="D43" i="20"/>
  <c r="D48" i="20" s="1"/>
  <c r="G44" i="20"/>
  <c r="H44" i="20" s="1"/>
  <c r="I44" i="20"/>
  <c r="D44" i="20"/>
  <c r="E45" i="20"/>
  <c r="B33" i="20"/>
  <c r="D31" i="20" s="1"/>
  <c r="E32" i="20" s="1"/>
  <c r="J26" i="20"/>
  <c r="D29" i="20"/>
  <c r="E30" i="20" s="1"/>
  <c r="I30" i="20" s="1"/>
  <c r="D32" i="20"/>
  <c r="E31" i="20" s="1"/>
  <c r="F31" i="20" s="1"/>
  <c r="D30" i="20"/>
  <c r="E28" i="20" s="1"/>
  <c r="F28" i="20" s="1"/>
  <c r="E44" i="20"/>
  <c r="F45" i="20"/>
  <c r="G45" i="20" s="1"/>
  <c r="H45" i="20" s="1"/>
  <c r="AG35" i="20"/>
  <c r="AH35" i="20" s="1"/>
  <c r="F46" i="20"/>
  <c r="G46" i="20" s="1"/>
  <c r="H46" i="20" s="1"/>
  <c r="F42" i="20"/>
  <c r="B48" i="20"/>
  <c r="E46" i="20"/>
  <c r="E42" i="20"/>
  <c r="F56" i="18"/>
  <c r="G56" i="18" s="1"/>
  <c r="F60" i="18"/>
  <c r="H60" i="18" s="1"/>
  <c r="I60" i="18" s="1"/>
  <c r="J60" i="18" s="1"/>
  <c r="F59" i="18"/>
  <c r="F47" i="18"/>
  <c r="G47" i="18" s="1"/>
  <c r="F58" i="18"/>
  <c r="F57" i="18"/>
  <c r="F55" i="18"/>
  <c r="R27" i="18"/>
  <c r="R28" i="18"/>
  <c r="R31" i="18"/>
  <c r="R30" i="18"/>
  <c r="R29" i="18"/>
  <c r="R32" i="18"/>
  <c r="A82" i="18"/>
  <c r="AI35" i="18"/>
  <c r="AJ35" i="18" s="1"/>
  <c r="G31" i="20" l="1"/>
  <c r="D27" i="20"/>
  <c r="E29" i="20" s="1"/>
  <c r="F32" i="20"/>
  <c r="I32" i="20"/>
  <c r="G28" i="20"/>
  <c r="H28" i="20"/>
  <c r="D28" i="20"/>
  <c r="E27" i="20" s="1"/>
  <c r="J27" i="20" s="1"/>
  <c r="E48" i="20"/>
  <c r="I28" i="20"/>
  <c r="F30" i="20"/>
  <c r="G30" i="20"/>
  <c r="H30" i="20"/>
  <c r="H31" i="20"/>
  <c r="I29" i="20"/>
  <c r="G42" i="20"/>
  <c r="F48" i="20"/>
  <c r="J32" i="20"/>
  <c r="K26" i="20"/>
  <c r="J30" i="20"/>
  <c r="J28" i="20"/>
  <c r="J29" i="20"/>
  <c r="J31" i="20"/>
  <c r="G32" i="20"/>
  <c r="H32" i="20"/>
  <c r="I31" i="20"/>
  <c r="H56" i="18"/>
  <c r="I56" i="18" s="1"/>
  <c r="J56" i="18" s="1"/>
  <c r="G60" i="18"/>
  <c r="H47" i="18"/>
  <c r="I47" i="18" s="1"/>
  <c r="J47" i="18" s="1"/>
  <c r="F61" i="18"/>
  <c r="F64" i="18" s="1"/>
  <c r="G55" i="18"/>
  <c r="H55" i="18"/>
  <c r="H57" i="18"/>
  <c r="I57" i="18" s="1"/>
  <c r="J57" i="18" s="1"/>
  <c r="G57" i="18"/>
  <c r="H58" i="18"/>
  <c r="I58" i="18" s="1"/>
  <c r="J58" i="18" s="1"/>
  <c r="G58" i="18"/>
  <c r="H59" i="18"/>
  <c r="I59" i="18" s="1"/>
  <c r="J59" i="18" s="1"/>
  <c r="G59" i="18"/>
  <c r="A83" i="18"/>
  <c r="A84" i="18" s="1"/>
  <c r="A85" i="18" s="1"/>
  <c r="B32" i="18"/>
  <c r="B30" i="18"/>
  <c r="B29" i="18"/>
  <c r="B28" i="18"/>
  <c r="B27" i="18"/>
  <c r="F29" i="20" l="1"/>
  <c r="H29" i="20"/>
  <c r="G29" i="20"/>
  <c r="F27" i="20"/>
  <c r="I27" i="20"/>
  <c r="H27" i="20"/>
  <c r="G27" i="20"/>
  <c r="G48" i="20"/>
  <c r="H42" i="20"/>
  <c r="H48" i="20" s="1"/>
  <c r="K29" i="20"/>
  <c r="K32" i="20"/>
  <c r="L26" i="20"/>
  <c r="K30" i="20"/>
  <c r="K31" i="20"/>
  <c r="K27" i="20"/>
  <c r="K28" i="20"/>
  <c r="H61" i="18"/>
  <c r="I55" i="18"/>
  <c r="G61" i="18"/>
  <c r="B33" i="18"/>
  <c r="D31" i="18" s="1"/>
  <c r="J15" i="11"/>
  <c r="K15" i="11" s="1"/>
  <c r="L15" i="11" s="1"/>
  <c r="M15" i="11" s="1"/>
  <c r="O22" i="11"/>
  <c r="N22" i="11"/>
  <c r="K22" i="11"/>
  <c r="L22" i="11" s="1"/>
  <c r="M22" i="11" s="1"/>
  <c r="O19" i="11" s="1"/>
  <c r="J22" i="11"/>
  <c r="M21" i="11"/>
  <c r="M19" i="11"/>
  <c r="N19" i="11" s="1"/>
  <c r="L19" i="11"/>
  <c r="K19" i="11"/>
  <c r="N8" i="14"/>
  <c r="M8" i="14"/>
  <c r="L8" i="14"/>
  <c r="K27" i="11"/>
  <c r="K28" i="11" s="1"/>
  <c r="K29" i="11" s="1"/>
  <c r="K26" i="11"/>
  <c r="H50" i="11"/>
  <c r="K49" i="11"/>
  <c r="L28" i="20" l="1"/>
  <c r="L27" i="20"/>
  <c r="N27" i="20" s="1"/>
  <c r="R27" i="20" s="1"/>
  <c r="R33" i="20" s="1"/>
  <c r="L29" i="20"/>
  <c r="L32" i="20"/>
  <c r="L31" i="20"/>
  <c r="N31" i="20" s="1"/>
  <c r="R31" i="20" s="1"/>
  <c r="M26" i="20"/>
  <c r="L30" i="20"/>
  <c r="N30" i="20" s="1"/>
  <c r="R30" i="20" s="1"/>
  <c r="N28" i="20"/>
  <c r="R28" i="20" s="1"/>
  <c r="I61" i="18"/>
  <c r="J55" i="18"/>
  <c r="J61" i="18" s="1"/>
  <c r="D27" i="18"/>
  <c r="B44" i="18" s="1"/>
  <c r="G32" i="18"/>
  <c r="O32" i="18" s="1"/>
  <c r="D30" i="18"/>
  <c r="B43" i="18" s="1"/>
  <c r="D32" i="18"/>
  <c r="B46" i="18" s="1"/>
  <c r="B47" i="18" s="1"/>
  <c r="D29" i="18"/>
  <c r="D28" i="18"/>
  <c r="B42" i="18" s="1"/>
  <c r="O15" i="11"/>
  <c r="N15" i="11"/>
  <c r="M20" i="11"/>
  <c r="L49" i="16"/>
  <c r="H59" i="16"/>
  <c r="L39" i="16"/>
  <c r="L40" i="16"/>
  <c r="L41" i="16"/>
  <c r="L42" i="16"/>
  <c r="L43" i="16"/>
  <c r="K44" i="16"/>
  <c r="H12" i="16"/>
  <c r="H13" i="16" s="1"/>
  <c r="H21" i="16"/>
  <c r="H31" i="16"/>
  <c r="H22" i="16"/>
  <c r="I21" i="16"/>
  <c r="I8" i="16"/>
  <c r="H8" i="16" s="1"/>
  <c r="H9" i="16" s="1"/>
  <c r="S49" i="11"/>
  <c r="S48" i="11"/>
  <c r="S47" i="11"/>
  <c r="S46" i="11"/>
  <c r="S45" i="11"/>
  <c r="S44" i="11"/>
  <c r="H48" i="11"/>
  <c r="H47" i="11"/>
  <c r="H44" i="11"/>
  <c r="R50" i="11"/>
  <c r="R49" i="11"/>
  <c r="N32" i="20" l="1"/>
  <c r="R32" i="20" s="1"/>
  <c r="M27" i="20"/>
  <c r="O27" i="20" s="1"/>
  <c r="M31" i="20"/>
  <c r="O31" i="20" s="1"/>
  <c r="Q31" i="20" s="1"/>
  <c r="M28" i="20"/>
  <c r="O28" i="20" s="1"/>
  <c r="Q28" i="20" s="1"/>
  <c r="M29" i="20"/>
  <c r="O29" i="20" s="1"/>
  <c r="Q29" i="20" s="1"/>
  <c r="M32" i="20"/>
  <c r="O32" i="20" s="1"/>
  <c r="Q32" i="20" s="1"/>
  <c r="M30" i="20"/>
  <c r="O30" i="20" s="1"/>
  <c r="Q30" i="20" s="1"/>
  <c r="N29" i="20"/>
  <c r="R29" i="20" s="1"/>
  <c r="D46" i="18"/>
  <c r="E46" i="18" s="1"/>
  <c r="F46" i="18" s="1"/>
  <c r="B59" i="18"/>
  <c r="D43" i="18"/>
  <c r="E43" i="18" s="1"/>
  <c r="F43" i="18" s="1"/>
  <c r="B56" i="18"/>
  <c r="D47" i="18"/>
  <c r="B60" i="18"/>
  <c r="B100" i="18" s="1"/>
  <c r="D44" i="18"/>
  <c r="B57" i="18"/>
  <c r="D57" i="18" s="1"/>
  <c r="D42" i="18"/>
  <c r="E42" i="18" s="1"/>
  <c r="B55" i="18"/>
  <c r="G29" i="18"/>
  <c r="N29" i="18" s="1"/>
  <c r="N32" i="18"/>
  <c r="B45" i="18"/>
  <c r="G30" i="18"/>
  <c r="G28" i="18"/>
  <c r="G27" i="18"/>
  <c r="G31" i="18"/>
  <c r="L45" i="16"/>
  <c r="H39" i="16" s="1"/>
  <c r="H42" i="16" s="1"/>
  <c r="H34" i="16"/>
  <c r="H8" i="11"/>
  <c r="Q27" i="20" l="1"/>
  <c r="Q33" i="20" s="1"/>
  <c r="O33" i="20"/>
  <c r="B101" i="18"/>
  <c r="B103" i="18" s="1"/>
  <c r="D100" i="18"/>
  <c r="F42" i="18"/>
  <c r="G46" i="18"/>
  <c r="H46" i="18"/>
  <c r="I46" i="18" s="1"/>
  <c r="J46" i="18" s="1"/>
  <c r="D60" i="18"/>
  <c r="E44" i="18"/>
  <c r="F44" i="18" s="1"/>
  <c r="G43" i="18"/>
  <c r="H43" i="18"/>
  <c r="I43" i="18" s="1"/>
  <c r="J43" i="18" s="1"/>
  <c r="D45" i="18"/>
  <c r="B58" i="18"/>
  <c r="B61" i="18" s="1"/>
  <c r="D56" i="18"/>
  <c r="D55" i="18"/>
  <c r="D59" i="18"/>
  <c r="O29" i="18"/>
  <c r="B48" i="18"/>
  <c r="N30" i="18"/>
  <c r="O30" i="18"/>
  <c r="O28" i="18"/>
  <c r="N28" i="18"/>
  <c r="N31" i="18"/>
  <c r="O31" i="18"/>
  <c r="O27" i="18"/>
  <c r="N27" i="18"/>
  <c r="H48" i="16"/>
  <c r="H46" i="16"/>
  <c r="H45" i="16"/>
  <c r="H43" i="16"/>
  <c r="H120" i="11"/>
  <c r="H109" i="11"/>
  <c r="I35" i="11"/>
  <c r="D58" i="18" l="1"/>
  <c r="D61" i="18" s="1"/>
  <c r="H42" i="18"/>
  <c r="G42" i="18"/>
  <c r="D48" i="18"/>
  <c r="E45" i="18"/>
  <c r="G44" i="18"/>
  <c r="H44" i="18"/>
  <c r="I44" i="18" s="1"/>
  <c r="J44" i="18" s="1"/>
  <c r="H49" i="16"/>
  <c r="F45" i="18" l="1"/>
  <c r="E48" i="18"/>
  <c r="I42" i="18"/>
  <c r="H50" i="16"/>
  <c r="H40" i="13"/>
  <c r="N49" i="11"/>
  <c r="J42" i="18" l="1"/>
  <c r="G45" i="18"/>
  <c r="G48" i="18" s="1"/>
  <c r="H45" i="18"/>
  <c r="F48" i="18"/>
  <c r="F51" i="18" s="1"/>
  <c r="H52" i="16"/>
  <c r="H12" i="11"/>
  <c r="H33" i="15"/>
  <c r="I33" i="15" s="1"/>
  <c r="J33" i="15" s="1"/>
  <c r="D33" i="15"/>
  <c r="E33" i="15" s="1"/>
  <c r="F33" i="15" s="1"/>
  <c r="H32" i="15"/>
  <c r="I32" i="15" s="1"/>
  <c r="J32" i="15" s="1"/>
  <c r="D32" i="15"/>
  <c r="E32" i="15" s="1"/>
  <c r="F32" i="15" s="1"/>
  <c r="I31" i="15"/>
  <c r="J31" i="15" s="1"/>
  <c r="H31" i="15"/>
  <c r="D31" i="15"/>
  <c r="E31" i="15" s="1"/>
  <c r="F31" i="15" s="1"/>
  <c r="H30" i="15"/>
  <c r="I30" i="15" s="1"/>
  <c r="J30" i="15" s="1"/>
  <c r="D30" i="15"/>
  <c r="E30" i="15" s="1"/>
  <c r="F30" i="15" s="1"/>
  <c r="H29" i="15"/>
  <c r="I29" i="15" s="1"/>
  <c r="J29" i="15" s="1"/>
  <c r="D29" i="15"/>
  <c r="E29" i="15" s="1"/>
  <c r="F29" i="15" s="1"/>
  <c r="D15" i="15"/>
  <c r="F14" i="15"/>
  <c r="F15" i="15" s="1"/>
  <c r="D14" i="15"/>
  <c r="G13" i="15"/>
  <c r="H13" i="15" s="1"/>
  <c r="I13" i="15" s="1"/>
  <c r="E13" i="15"/>
  <c r="C13" i="15"/>
  <c r="G12" i="15"/>
  <c r="H12" i="15" s="1"/>
  <c r="I12" i="15" s="1"/>
  <c r="E12" i="15"/>
  <c r="C12" i="15"/>
  <c r="G11" i="15"/>
  <c r="H11" i="15" s="1"/>
  <c r="I11" i="15" s="1"/>
  <c r="E11" i="15"/>
  <c r="C11" i="15"/>
  <c r="G10" i="15"/>
  <c r="H10" i="15" s="1"/>
  <c r="I10" i="15" s="1"/>
  <c r="E10" i="15"/>
  <c r="C10" i="15"/>
  <c r="H9" i="15"/>
  <c r="I9" i="15" s="1"/>
  <c r="G9" i="15"/>
  <c r="E9" i="15"/>
  <c r="C9" i="15"/>
  <c r="A9" i="15" s="1"/>
  <c r="H22" i="11"/>
  <c r="I45" i="18" l="1"/>
  <c r="H48" i="18"/>
  <c r="K31" i="15"/>
  <c r="L31" i="15" s="1"/>
  <c r="N31" i="15" s="1"/>
  <c r="C14" i="15"/>
  <c r="C15" i="15" s="1"/>
  <c r="E14" i="15"/>
  <c r="E15" i="15" s="1"/>
  <c r="G14" i="15"/>
  <c r="G15" i="15" s="1"/>
  <c r="K30" i="15"/>
  <c r="L30" i="15" s="1"/>
  <c r="N30" i="15" s="1"/>
  <c r="K32" i="15"/>
  <c r="L32" i="15" s="1"/>
  <c r="N32" i="15" s="1"/>
  <c r="I14" i="15"/>
  <c r="I8" i="11" s="1"/>
  <c r="K29" i="15"/>
  <c r="L29" i="15" s="1"/>
  <c r="K33" i="15"/>
  <c r="L33" i="15" s="1"/>
  <c r="N33" i="15" s="1"/>
  <c r="H14" i="15"/>
  <c r="H15" i="15" s="1"/>
  <c r="J45" i="18" l="1"/>
  <c r="J48" i="18" s="1"/>
  <c r="I48" i="18"/>
  <c r="N29" i="15"/>
  <c r="N34" i="15" s="1"/>
  <c r="H21" i="11" s="1"/>
  <c r="L34" i="15"/>
  <c r="I21" i="11" s="1"/>
  <c r="K14" i="15"/>
  <c r="N14" i="15"/>
  <c r="N17" i="15" s="1"/>
  <c r="N18" i="15" s="1"/>
  <c r="I15" i="15"/>
  <c r="M14" i="15"/>
  <c r="H13" i="11" l="1"/>
  <c r="H9" i="11"/>
  <c r="H112" i="11" l="1"/>
  <c r="H50" i="13"/>
  <c r="E56" i="11" l="1"/>
  <c r="I101" i="11"/>
  <c r="N44" i="11"/>
  <c r="N45" i="11"/>
  <c r="N46" i="11"/>
  <c r="N47" i="11"/>
  <c r="N48" i="11"/>
  <c r="L49" i="11"/>
  <c r="N50" i="11"/>
  <c r="N51" i="11"/>
  <c r="N52" i="11"/>
  <c r="N53" i="11"/>
  <c r="N54" i="11"/>
  <c r="N55" i="11"/>
  <c r="N56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44" i="11"/>
  <c r="I11" i="14"/>
  <c r="I26" i="14" s="1"/>
  <c r="I16" i="14"/>
  <c r="I33" i="14" s="1"/>
  <c r="I22" i="14"/>
  <c r="I51" i="14"/>
  <c r="I30" i="14" s="1"/>
  <c r="I37" i="14" s="1"/>
  <c r="H29" i="11"/>
  <c r="H29" i="13"/>
  <c r="H62" i="11"/>
  <c r="H78" i="11" s="1"/>
  <c r="H94" i="11" s="1"/>
  <c r="H71" i="11"/>
  <c r="G63" i="11"/>
  <c r="G79" i="11" s="1"/>
  <c r="G95" i="11" s="1"/>
  <c r="G64" i="11"/>
  <c r="G80" i="11" s="1"/>
  <c r="G96" i="11" s="1"/>
  <c r="G65" i="11"/>
  <c r="G81" i="11" s="1"/>
  <c r="G97" i="11" s="1"/>
  <c r="G66" i="11"/>
  <c r="G82" i="11" s="1"/>
  <c r="G98" i="11" s="1"/>
  <c r="G67" i="11"/>
  <c r="G83" i="11" s="1"/>
  <c r="G99" i="11" s="1"/>
  <c r="G68" i="11"/>
  <c r="G84" i="11" s="1"/>
  <c r="G100" i="11" s="1"/>
  <c r="G69" i="11"/>
  <c r="G85" i="11" s="1"/>
  <c r="G101" i="11" s="1"/>
  <c r="G70" i="11"/>
  <c r="G86" i="11" s="1"/>
  <c r="G102" i="11" s="1"/>
  <c r="G71" i="11"/>
  <c r="G87" i="11" s="1"/>
  <c r="G103" i="11" s="1"/>
  <c r="G72" i="11"/>
  <c r="G88" i="11" s="1"/>
  <c r="G104" i="11" s="1"/>
  <c r="G60" i="11"/>
  <c r="G76" i="11" s="1"/>
  <c r="K46" i="11"/>
  <c r="K55" i="11"/>
  <c r="I55" i="11" s="1"/>
  <c r="J47" i="11"/>
  <c r="J48" i="11"/>
  <c r="J49" i="11"/>
  <c r="J50" i="11"/>
  <c r="J51" i="11"/>
  <c r="J52" i="11"/>
  <c r="J53" i="11"/>
  <c r="J54" i="11"/>
  <c r="J55" i="11"/>
  <c r="J56" i="11"/>
  <c r="J44" i="11"/>
  <c r="J43" i="11"/>
  <c r="H9" i="13"/>
  <c r="H19" i="13"/>
  <c r="H35" i="13"/>
  <c r="M53" i="13"/>
  <c r="H45" i="13" s="1"/>
  <c r="K44" i="11" s="1"/>
  <c r="H37" i="11" l="1"/>
  <c r="H52" i="11"/>
  <c r="H81" i="11"/>
  <c r="H97" i="11" s="1"/>
  <c r="J97" i="11" s="1"/>
  <c r="L55" i="11"/>
  <c r="I35" i="14"/>
  <c r="I39" i="14" s="1"/>
  <c r="I40" i="14" s="1"/>
  <c r="I42" i="14" s="1"/>
  <c r="I36" i="14"/>
  <c r="H76" i="11"/>
  <c r="H42" i="13"/>
  <c r="I42" i="13" s="1"/>
  <c r="J42" i="13" s="1"/>
  <c r="H87" i="11"/>
  <c r="H103" i="11" s="1"/>
  <c r="H51" i="13"/>
  <c r="K50" i="11" s="1"/>
  <c r="L50" i="11" s="1"/>
  <c r="H48" i="13"/>
  <c r="H49" i="13"/>
  <c r="K48" i="11" s="1"/>
  <c r="L48" i="11" s="1"/>
  <c r="H52" i="13"/>
  <c r="K51" i="11" s="1"/>
  <c r="L51" i="11" s="1"/>
  <c r="H53" i="13"/>
  <c r="K52" i="11" s="1"/>
  <c r="L52" i="11" s="1"/>
  <c r="H116" i="11" l="1"/>
  <c r="H68" i="11"/>
  <c r="H117" i="11"/>
  <c r="H115" i="11"/>
  <c r="H113" i="11"/>
  <c r="H53" i="11"/>
  <c r="H82" i="11"/>
  <c r="H98" i="11" s="1"/>
  <c r="J98" i="11" s="1"/>
  <c r="I50" i="11"/>
  <c r="F50" i="11" s="1"/>
  <c r="I48" i="11"/>
  <c r="F48" i="11" s="1"/>
  <c r="H80" i="11"/>
  <c r="H96" i="11" s="1"/>
  <c r="J96" i="11" s="1"/>
  <c r="H54" i="13"/>
  <c r="L47" i="11"/>
  <c r="H83" i="11"/>
  <c r="H99" i="11" s="1"/>
  <c r="J99" i="11" s="1"/>
  <c r="I51" i="11"/>
  <c r="F51" i="11" s="1"/>
  <c r="H84" i="11"/>
  <c r="H100" i="11" s="1"/>
  <c r="J100" i="11" s="1"/>
  <c r="I52" i="11"/>
  <c r="F52" i="11" s="1"/>
  <c r="I49" i="11"/>
  <c r="F49" i="11" s="1"/>
  <c r="D49" i="11" s="1"/>
  <c r="H69" i="11" l="1"/>
  <c r="H70" i="11" s="1"/>
  <c r="H54" i="11"/>
  <c r="H56" i="11" s="1"/>
  <c r="I47" i="11"/>
  <c r="F47" i="11" s="1"/>
  <c r="H79" i="11"/>
  <c r="H55" i="13"/>
  <c r="K53" i="11"/>
  <c r="H85" i="11" l="1"/>
  <c r="H101" i="11" s="1"/>
  <c r="H95" i="11"/>
  <c r="J95" i="11" s="1"/>
  <c r="J101" i="11" s="1"/>
  <c r="J102" i="11" s="1"/>
  <c r="J104" i="11" s="1"/>
  <c r="I53" i="11"/>
  <c r="L53" i="11"/>
  <c r="H57" i="13"/>
  <c r="K56" i="11" s="1"/>
  <c r="K54" i="11"/>
  <c r="B4" i="10"/>
  <c r="C4" i="10" s="1"/>
  <c r="C6" i="10" s="1"/>
  <c r="B5" i="10"/>
  <c r="C5" i="10"/>
  <c r="B6" i="10"/>
  <c r="B19" i="10"/>
  <c r="B22" i="10"/>
  <c r="B23" i="10"/>
  <c r="B24" i="10" s="1"/>
  <c r="B26" i="10" s="1"/>
  <c r="B28" i="10" s="1"/>
  <c r="B31" i="10" s="1"/>
  <c r="A30" i="10"/>
  <c r="H72" i="11" l="1"/>
  <c r="H86" i="11"/>
  <c r="H88" i="11" s="1"/>
  <c r="H104" i="11" s="1"/>
  <c r="I54" i="11"/>
  <c r="L54" i="11"/>
  <c r="I56" i="11"/>
  <c r="L56" i="11"/>
  <c r="C11" i="10"/>
  <c r="C13" i="10" s="1"/>
  <c r="B30" i="10" s="1"/>
  <c r="B32" i="10" s="1"/>
  <c r="B33" i="10" s="1"/>
  <c r="C8" i="10"/>
  <c r="C10" i="10" s="1"/>
  <c r="H102" i="11" l="1"/>
  <c r="C3" i="1"/>
  <c r="G13" i="8"/>
  <c r="H13" i="8"/>
  <c r="B5" i="8"/>
  <c r="H10" i="8"/>
  <c r="J9" i="8"/>
  <c r="Y19" i="5"/>
  <c r="O15" i="5"/>
  <c r="O16" i="5"/>
  <c r="O17" i="5"/>
  <c r="O18" i="5"/>
  <c r="O19" i="5"/>
  <c r="O20" i="5"/>
  <c r="N21" i="5"/>
  <c r="B17" i="7"/>
  <c r="D17" i="7" s="1"/>
  <c r="B11" i="7"/>
  <c r="B13" i="7" s="1"/>
  <c r="C10" i="7"/>
  <c r="D9" i="7"/>
  <c r="C12" i="7" s="1"/>
  <c r="C13" i="7" s="1"/>
  <c r="B12" i="8"/>
  <c r="B18" i="8"/>
  <c r="D18" i="8" s="1"/>
  <c r="B14" i="8"/>
  <c r="C11" i="8"/>
  <c r="D10" i="8"/>
  <c r="C13" i="8" s="1"/>
  <c r="C36" i="1"/>
  <c r="C35" i="1"/>
  <c r="C34" i="1"/>
  <c r="K4" i="1"/>
  <c r="M4" i="1" s="1"/>
  <c r="H9" i="1"/>
  <c r="D16" i="1"/>
  <c r="C19" i="1"/>
  <c r="H5" i="1"/>
  <c r="H4" i="1"/>
  <c r="B24" i="1"/>
  <c r="D24" i="1" s="1"/>
  <c r="O4" i="5"/>
  <c r="O5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G29" i="5"/>
  <c r="E29" i="5"/>
  <c r="G28" i="5"/>
  <c r="E28" i="5"/>
  <c r="G27" i="5"/>
  <c r="E27" i="5"/>
  <c r="G26" i="5"/>
  <c r="E26" i="5"/>
  <c r="G25" i="5"/>
  <c r="E25" i="5"/>
  <c r="G24" i="5"/>
  <c r="E24" i="5"/>
  <c r="G23" i="5"/>
  <c r="E23" i="5"/>
  <c r="G10" i="5"/>
  <c r="G9" i="5"/>
  <c r="G8" i="5"/>
  <c r="G7" i="5"/>
  <c r="G6" i="5"/>
  <c r="G5" i="5"/>
  <c r="G4" i="5"/>
  <c r="T5" i="5"/>
  <c r="T6" i="5"/>
  <c r="T7" i="5"/>
  <c r="K7" i="5" s="1"/>
  <c r="E10" i="5"/>
  <c r="E8" i="5"/>
  <c r="E9" i="5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I4" i="5"/>
  <c r="E5" i="5"/>
  <c r="E6" i="5"/>
  <c r="E7" i="5"/>
  <c r="E4" i="5"/>
  <c r="K9" i="5" l="1"/>
  <c r="L9" i="5" s="1"/>
  <c r="L7" i="5"/>
  <c r="T9" i="5"/>
  <c r="K10" i="5"/>
  <c r="L10" i="5" s="1"/>
  <c r="O21" i="5"/>
  <c r="P21" i="5" s="1"/>
  <c r="I30" i="5"/>
  <c r="J30" i="5"/>
  <c r="B34" i="5" s="1"/>
  <c r="K4" i="5"/>
  <c r="L4" i="5" s="1"/>
  <c r="C14" i="8"/>
  <c r="K6" i="5"/>
  <c r="L6" i="5" s="1"/>
  <c r="K5" i="5"/>
  <c r="L5" i="5" s="1"/>
  <c r="T8" i="5"/>
  <c r="K8" i="5"/>
  <c r="L8" i="5" s="1"/>
  <c r="I11" i="5"/>
  <c r="J4" i="5"/>
  <c r="J11" i="5" s="1"/>
  <c r="B15" i="5" s="1"/>
  <c r="L11" i="5" l="1"/>
  <c r="L15" i="5" s="1"/>
  <c r="L16" i="5" s="1"/>
  <c r="B4" i="1" s="1"/>
  <c r="K5" i="1" s="1"/>
  <c r="M5" i="1" s="1"/>
  <c r="M6" i="1" s="1"/>
  <c r="K11" i="5"/>
  <c r="K26" i="5"/>
  <c r="L26" i="5" s="1"/>
  <c r="K25" i="5"/>
  <c r="L25" i="5" s="1"/>
  <c r="K28" i="5"/>
  <c r="L28" i="5" s="1"/>
  <c r="K29" i="5"/>
  <c r="L29" i="5" s="1"/>
  <c r="K27" i="5"/>
  <c r="L27" i="5" s="1"/>
  <c r="K24" i="5"/>
  <c r="L24" i="5" s="1"/>
  <c r="K23" i="5"/>
  <c r="B6" i="8"/>
  <c r="B6" i="7"/>
  <c r="L23" i="5" l="1"/>
  <c r="L30" i="5" s="1"/>
  <c r="L34" i="5" s="1"/>
  <c r="L35" i="5" s="1"/>
  <c r="K30" i="5"/>
  <c r="B6" i="1"/>
  <c r="D2" i="1" s="1"/>
  <c r="B18" i="1" l="1"/>
  <c r="B20" i="1" s="1"/>
  <c r="F10" i="1"/>
  <c r="F11" i="1" s="1"/>
  <c r="B17" i="1"/>
  <c r="C17" i="1" s="1"/>
  <c r="C20" i="1" s="1"/>
  <c r="H32" i="18" l="1"/>
  <c r="H27" i="18"/>
  <c r="H31" i="18"/>
  <c r="H30" i="18"/>
  <c r="J27" i="18"/>
  <c r="H29" i="18"/>
  <c r="J29" i="18"/>
  <c r="J32" i="18"/>
  <c r="J31" i="18"/>
  <c r="J28" i="18"/>
  <c r="J30" i="18"/>
  <c r="M32" i="18"/>
  <c r="M30" i="18"/>
  <c r="M27" i="18"/>
  <c r="M31" i="18"/>
  <c r="M28" i="18"/>
  <c r="M29" i="18"/>
  <c r="I31" i="18"/>
  <c r="I29" i="18"/>
  <c r="I30" i="18"/>
  <c r="I27" i="18"/>
  <c r="I28" i="18"/>
  <c r="I32" i="18"/>
  <c r="K30" i="18"/>
  <c r="K32" i="18"/>
  <c r="K27" i="18"/>
  <c r="K31" i="18"/>
  <c r="K28" i="18"/>
  <c r="K29" i="18"/>
  <c r="H28" i="18"/>
  <c r="L31" i="18"/>
  <c r="L30" i="18"/>
  <c r="L32" i="18"/>
  <c r="L27" i="18"/>
  <c r="L28" i="18"/>
  <c r="L29" i="18"/>
  <c r="P29" i="18" l="1"/>
  <c r="T29" i="18" s="1"/>
  <c r="P30" i="18"/>
  <c r="T30" i="18" s="1"/>
  <c r="Q28" i="18"/>
  <c r="S28" i="18" s="1"/>
  <c r="P28" i="18"/>
  <c r="T28" i="18" s="1"/>
  <c r="Q31" i="18"/>
  <c r="S31" i="18" s="1"/>
  <c r="P31" i="18"/>
  <c r="T31" i="18" s="1"/>
  <c r="P27" i="18"/>
  <c r="T27" i="18" s="1"/>
  <c r="Q32" i="18"/>
  <c r="S32" i="18" s="1"/>
  <c r="P32" i="18"/>
  <c r="T32" i="18" s="1"/>
  <c r="Q27" i="18"/>
  <c r="S27" i="18" s="1"/>
  <c r="Q30" i="18"/>
  <c r="Q29" i="18"/>
  <c r="S29" i="18" s="1"/>
  <c r="T33" i="18" l="1"/>
  <c r="Q33" i="18"/>
  <c r="S30" i="18"/>
  <c r="S33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Sloan</author>
  </authors>
  <commentList>
    <comment ref="E60" authorId="0" shapeId="0" xr:uid="{62CD8CE5-BCB2-4673-838B-C2205A69A28D}">
      <text>
        <r>
          <rPr>
            <b/>
            <sz val="9"/>
            <color indexed="81"/>
            <rFont val="Tahoma"/>
            <family val="2"/>
          </rPr>
          <t>Anthony Sloan:</t>
        </r>
        <r>
          <rPr>
            <sz val="9"/>
            <color indexed="81"/>
            <rFont val="Tahoma"/>
            <family val="2"/>
          </rPr>
          <t xml:space="preserve">
Should Ginger Beer be higher?</t>
        </r>
      </text>
    </comment>
  </commentList>
</comments>
</file>

<file path=xl/sharedStrings.xml><?xml version="1.0" encoding="utf-8"?>
<sst xmlns="http://schemas.openxmlformats.org/spreadsheetml/2006/main" count="1904" uniqueCount="699">
  <si>
    <t>Fill</t>
  </si>
  <si>
    <t>Total Cases</t>
  </si>
  <si>
    <t>Gallons</t>
  </si>
  <si>
    <t>Cost Per Can</t>
  </si>
  <si>
    <t>Shipping to and from</t>
  </si>
  <si>
    <t>CSD</t>
  </si>
  <si>
    <t>3G1091 HANGAR 25 DIET COLA</t>
  </si>
  <si>
    <t>3G6121 HANGAR 25 COLA</t>
  </si>
  <si>
    <t>3G6141 CABLE CAR LEMON LIME</t>
  </si>
  <si>
    <t>3G6151 OAKTOWN ROOT BEER</t>
  </si>
  <si>
    <t>3G6471 LOST ISLAND GINGER BEER</t>
  </si>
  <si>
    <t>BIB PPG</t>
  </si>
  <si>
    <t>GALLONS</t>
  </si>
  <si>
    <t>COST</t>
  </si>
  <si>
    <t>NAME</t>
  </si>
  <si>
    <t>270 GALLON TOTE</t>
  </si>
  <si>
    <t>SHIPPING 14 TOTES</t>
  </si>
  <si>
    <t>MIX</t>
  </si>
  <si>
    <t>TOTAL COST</t>
  </si>
  <si>
    <t>X5 TOTES</t>
  </si>
  <si>
    <t>Total Cans</t>
  </si>
  <si>
    <t>OLD FASHIONED CRÈME ALE</t>
  </si>
  <si>
    <t>GOLDEN GATE ORANGE SODA</t>
  </si>
  <si>
    <t>TOTALS</t>
  </si>
  <si>
    <t>TOTAL PALLETS</t>
  </si>
  <si>
    <t>TOTAL CANS</t>
  </si>
  <si>
    <t>RAW PPG</t>
  </si>
  <si>
    <t>Gallons Syrup</t>
  </si>
  <si>
    <t>Oz</t>
  </si>
  <si>
    <t>Finish OZ</t>
  </si>
  <si>
    <t>Oz Syrup</t>
  </si>
  <si>
    <t>Freight</t>
  </si>
  <si>
    <t>Total ingredients cost</t>
  </si>
  <si>
    <t>#of 12 oz Cans</t>
  </si>
  <si>
    <t>FINISHED PPG</t>
  </si>
  <si>
    <t>Raw Gallons</t>
  </si>
  <si>
    <t>TOTAL Finished GALLONS</t>
  </si>
  <si>
    <t>Total Raw Gallons</t>
  </si>
  <si>
    <t>Raw G's needed</t>
  </si>
  <si>
    <t>Cans &amp; Sleeves &amp; Carton</t>
  </si>
  <si>
    <t>Raw Ingredients</t>
  </si>
  <si>
    <t>Case Cost</t>
  </si>
  <si>
    <t>Case Price</t>
  </si>
  <si>
    <t>Case Profit</t>
  </si>
  <si>
    <t xml:space="preserve">Unit Retail </t>
  </si>
  <si>
    <t>Retail Cost</t>
  </si>
  <si>
    <t>45,00 Cans</t>
  </si>
  <si>
    <t>CANCRAFT QUOTE</t>
  </si>
  <si>
    <t>CAN &amp; SLEEVE</t>
  </si>
  <si>
    <t>CaN ENDS</t>
  </si>
  <si>
    <t>Plate Fees</t>
  </si>
  <si>
    <t>125 Per Color Per Can</t>
  </si>
  <si>
    <t>Shipping to Full Metal</t>
  </si>
  <si>
    <t>Initial Exta Costs</t>
  </si>
  <si>
    <t>Initial Can Costs</t>
  </si>
  <si>
    <t>Initial Case Cost</t>
  </si>
  <si>
    <t>Shipping to Brix Beverage</t>
  </si>
  <si>
    <t>Unit Cost</t>
  </si>
  <si>
    <t>CANS</t>
  </si>
  <si>
    <t>CASES</t>
  </si>
  <si>
    <t>CANS WITHOUT PRODUCT PRICE</t>
  </si>
  <si>
    <t>CANS &amp; SLEEVES</t>
  </si>
  <si>
    <t>ALL OTHER</t>
  </si>
  <si>
    <t>memberservices@resortcom.com</t>
  </si>
  <si>
    <t>Can Source in Peteluma</t>
  </si>
  <si>
    <t xml:space="preserve"> san lead</t>
  </si>
  <si>
    <t>Shipping totes+ Shipping final</t>
  </si>
  <si>
    <t>Ends</t>
  </si>
  <si>
    <t>Cans</t>
  </si>
  <si>
    <t>Shipping</t>
  </si>
  <si>
    <t>*</t>
  </si>
  <si>
    <t>Cartons</t>
  </si>
  <si>
    <t>Repack Expense</t>
  </si>
  <si>
    <t>This is how long until we break even, excluding margin to date but including margin and credits</t>
  </si>
  <si>
    <t>Years</t>
  </si>
  <si>
    <t>Margin per year</t>
  </si>
  <si>
    <t>Total Margin Per month</t>
  </si>
  <si>
    <t>*Validate number</t>
  </si>
  <si>
    <t>Case Volume per month</t>
  </si>
  <si>
    <t>Case Margin</t>
  </si>
  <si>
    <t>Credits per year</t>
  </si>
  <si>
    <t>Shipments per year</t>
  </si>
  <si>
    <t>Credits per shipment</t>
  </si>
  <si>
    <t>Shipments to breakeven</t>
  </si>
  <si>
    <t>11/14/2024 Shipment</t>
  </si>
  <si>
    <t>Cases to breakeven</t>
  </si>
  <si>
    <t>Per Case Credit</t>
  </si>
  <si>
    <t>Full Metals 11/14/2024 Invoice</t>
  </si>
  <si>
    <t>Fill COGS - NEW</t>
  </si>
  <si>
    <t>Full Metal's 02/16/2024 Invoice</t>
  </si>
  <si>
    <t>Fill COGS - OLD</t>
  </si>
  <si>
    <t>need to validate</t>
  </si>
  <si>
    <t>Accounts Payable (A/P)</t>
  </si>
  <si>
    <t>Can Raw Materials</t>
  </si>
  <si>
    <t>Invoice for consulting services - Process Authority Letters for Alameda Soda Company</t>
  </si>
  <si>
    <t>Mark Caporale</t>
  </si>
  <si>
    <t>24-164</t>
  </si>
  <si>
    <t>Bill</t>
  </si>
  <si>
    <t>10/23/2024</t>
  </si>
  <si>
    <t>Full Metal Canning</t>
  </si>
  <si>
    <t>INVFMC80</t>
  </si>
  <si>
    <t>11/14/2024</t>
  </si>
  <si>
    <t>Chase Business Checking</t>
  </si>
  <si>
    <t>Packaging for Cases</t>
  </si>
  <si>
    <t>Can Source</t>
  </si>
  <si>
    <t>INV42464</t>
  </si>
  <si>
    <t>Expense</t>
  </si>
  <si>
    <t>11/05/2024</t>
  </si>
  <si>
    <t>TFC LLC</t>
  </si>
  <si>
    <t>11/23/2024</t>
  </si>
  <si>
    <t>Invoice for transportation services from TFC LLC to Brix Beverage for linehaul delivery of can ends</t>
  </si>
  <si>
    <t>10/25/2024</t>
  </si>
  <si>
    <t>ONE GALLON NATURAL SYRUP  GOLDEN GATE ORANGE  FOR CANS</t>
  </si>
  <si>
    <t>AC CALDERONI*</t>
  </si>
  <si>
    <t>10/15/2024</t>
  </si>
  <si>
    <t>ONE GALLON NATURAL SYRUP  OLDE FOUNTAIN CRÈME FOR CANS</t>
  </si>
  <si>
    <t>ONE GALLON NATURAL SYRUP  OAKTOWN OLD FASHIONED ROOT BEER FOR CANS</t>
  </si>
  <si>
    <t>ONE GALLON NATURAL SYRUP  CABLE CAR LEMON LIME FOR CANS</t>
  </si>
  <si>
    <t>Freight to Full Metal</t>
  </si>
  <si>
    <t>ONE GALLON NATURAL SYRUP  HANGAR 25 COLA FOR CANS</t>
  </si>
  <si>
    <t>202-LOE-BLK-12OZ SLEEK BLK CAN LIDS</t>
  </si>
  <si>
    <t>DigiCan Printing LLC</t>
  </si>
  <si>
    <t>DC11519</t>
  </si>
  <si>
    <t>08/19/2024</t>
  </si>
  <si>
    <t>CAN OLD FOUNTAIN CREME 12OZ SLEEK EMPTY</t>
  </si>
  <si>
    <t>CAN OAKTOWN ROOT BEER 12OZ SLEEK EMPTY</t>
  </si>
  <si>
    <t>CAN GOLDEN GATE ORANGE 12OZ SLEEK</t>
  </si>
  <si>
    <t>CAN CABLE CAR 12OZ SLEEK EMPTY</t>
  </si>
  <si>
    <t>CAN HANGAR 25 COLA 12OZ SLEEK</t>
  </si>
  <si>
    <t>Beginning Balance</t>
  </si>
  <si>
    <t>Amount</t>
  </si>
  <si>
    <t>Split</t>
  </si>
  <si>
    <t>Account</t>
  </si>
  <si>
    <t>Memo/Description</t>
  </si>
  <si>
    <t>Name</t>
  </si>
  <si>
    <t>Num</t>
  </si>
  <si>
    <t>Transaction Type</t>
  </si>
  <si>
    <t>Date</t>
  </si>
  <si>
    <t>Total Production Run</t>
  </si>
  <si>
    <t>Lids</t>
  </si>
  <si>
    <t>*Not included in COGS</t>
  </si>
  <si>
    <t>Finished Cans</t>
  </si>
  <si>
    <t>Crème</t>
  </si>
  <si>
    <t>Ginger</t>
  </si>
  <si>
    <t>RB</t>
  </si>
  <si>
    <t>Orange</t>
  </si>
  <si>
    <t>LL</t>
  </si>
  <si>
    <t>diet</t>
  </si>
  <si>
    <t>cola</t>
  </si>
  <si>
    <t>Produced</t>
  </si>
  <si>
    <t>Total</t>
  </si>
  <si>
    <t>FMC-1253</t>
  </si>
  <si>
    <t>05/10/2024</t>
  </si>
  <si>
    <t>FMC-1214</t>
  </si>
  <si>
    <t>05/07/2024</t>
  </si>
  <si>
    <t>DOMESTIC WIRE FULL METAL CANNING O03BC57050DV88VW</t>
  </si>
  <si>
    <t>FMC-1007</t>
  </si>
  <si>
    <t>03/11/2024</t>
  </si>
  <si>
    <t>ACH DEBIT CANSOURCE LLC XXXXXX0945 A POINT BEVERAGE G XXXXXX7582</t>
  </si>
  <si>
    <t>04/25/2024</t>
  </si>
  <si>
    <t>Cardboard Trays - Sleek 24 Case.  .042 X 6300 + 3 $23.50 Wooden Pallets</t>
  </si>
  <si>
    <t>#INV39908</t>
  </si>
  <si>
    <t>04/19/2024</t>
  </si>
  <si>
    <t>shipping</t>
  </si>
  <si>
    <t>POS PURCHASE #8609 FREEDOM PACKERS, L LC FREEDOMPA FL</t>
  </si>
  <si>
    <t>FREEDOM PACKERS</t>
  </si>
  <si>
    <t>04/15/2024</t>
  </si>
  <si>
    <t>05/21/2024</t>
  </si>
  <si>
    <t>TFC LLC CAN SHIPPING TO LONGMONT FROM DIGICAN
143621</t>
  </si>
  <si>
    <t>04/18/2024</t>
  </si>
  <si>
    <t>Shipping 143772</t>
  </si>
  <si>
    <t>Shipping 143732</t>
  </si>
  <si>
    <t>04/17/2024</t>
  </si>
  <si>
    <t>CAN HANGAR 25 DIET COLA 12OZ SLEEK EMPTY</t>
  </si>
  <si>
    <t>CAN LOST ISLAND GINGER 12OZ SLEEK EMPTY</t>
  </si>
  <si>
    <t>04/11/2024</t>
  </si>
  <si>
    <t>ONE GALLON NATURAL SYRUP DIET  HANGAR 25 COLA FOR CANS</t>
  </si>
  <si>
    <t>*This would be our cost if we were charged the current discounted fill cost and the previous unit costs</t>
  </si>
  <si>
    <t>DIF</t>
  </si>
  <si>
    <t>*** 3000 from AC calderoni that was mistakenly coded to shipping and delivery COGS</t>
  </si>
  <si>
    <t>Shipping and Delivery COGS</t>
  </si>
  <si>
    <t>This is our savings with the discount</t>
  </si>
  <si>
    <t>142685</t>
  </si>
  <si>
    <t>ACH DEBIT FULL METAL CANNI BILL.COM BRIX BEVERAGE (ALA 016HBCBLI37Z9C3 XXXXXX5317</t>
  </si>
  <si>
    <t/>
  </si>
  <si>
    <t>ACH DEBIT FULL METAL CANNI BILL.COM BRIX BEVERAGE (ALA 016LKOREI371SXM XXXXXX5317</t>
  </si>
  <si>
    <t>CANCraft BSG Inc.</t>
  </si>
  <si>
    <t>Sample Cans</t>
  </si>
  <si>
    <t>0628989</t>
  </si>
  <si>
    <t>Syrup</t>
  </si>
  <si>
    <t>25689</t>
  </si>
  <si>
    <t>Syrup To Colorado</t>
  </si>
  <si>
    <t>25266</t>
  </si>
  <si>
    <t>Freight to Colorado</t>
  </si>
  <si>
    <t>Opening Balance Equity</t>
  </si>
  <si>
    <t>CHLBRX03 HANGAR 25 COLA 12OZ SLEEK - Opening inventory and value</t>
  </si>
  <si>
    <t>START</t>
  </si>
  <si>
    <t>Inventory Starting Value</t>
  </si>
  <si>
    <t>Full name</t>
  </si>
  <si>
    <t>Transaction type</t>
  </si>
  <si>
    <t>January 1, 2023-December 31, 2024</t>
  </si>
  <si>
    <t>Transaction Report</t>
  </si>
  <si>
    <t>BRIX BEVERAGE</t>
  </si>
  <si>
    <t>Projected</t>
  </si>
  <si>
    <t>units leftover from production run</t>
  </si>
  <si>
    <t>*1900 gallon tank, 90-95% yield goal</t>
  </si>
  <si>
    <t>6 to a case?</t>
  </si>
  <si>
    <t>Sent</t>
  </si>
  <si>
    <t>100% Yield</t>
  </si>
  <si>
    <t>95% Yield</t>
  </si>
  <si>
    <t>Filled</t>
  </si>
  <si>
    <t>Shipped</t>
  </si>
  <si>
    <t>To be Shipped</t>
  </si>
  <si>
    <t>Empties</t>
  </si>
  <si>
    <t>Cola</t>
  </si>
  <si>
    <t>This is value leftover of cans and lids</t>
  </si>
  <si>
    <t>Pallets</t>
  </si>
  <si>
    <t>Total Production Cost</t>
  </si>
  <si>
    <t>*Revised proposed run by FMC 08/23/2024, adjusted</t>
  </si>
  <si>
    <t>to reflect our 1900g tank</t>
  </si>
  <si>
    <t>adjusted production cogs</t>
  </si>
  <si>
    <t>6 skus</t>
  </si>
  <si>
    <t>Cases</t>
  </si>
  <si>
    <t>Lemon Lime</t>
  </si>
  <si>
    <t>Rootbeer</t>
  </si>
  <si>
    <t>Ginger Beer</t>
  </si>
  <si>
    <t>Filled Cases</t>
  </si>
  <si>
    <t>Ounces</t>
  </si>
  <si>
    <t>Gallons Sent</t>
  </si>
  <si>
    <t>Ounces Sent</t>
  </si>
  <si>
    <t>5/1 Ratio</t>
  </si>
  <si>
    <t>Finished Gallons Sent</t>
  </si>
  <si>
    <t>Excess</t>
  </si>
  <si>
    <t>Concentrate Excess</t>
  </si>
  <si>
    <t>COGS per gallon</t>
  </si>
  <si>
    <t>Value of excess syrup at Full Metal</t>
  </si>
  <si>
    <t>This is our savings at FM's fill rate of .39</t>
  </si>
  <si>
    <t>*Add Quantum bill</t>
  </si>
  <si>
    <t>QUANTUM FILL</t>
  </si>
  <si>
    <t>*Need to add those pallets that just arrived</t>
  </si>
  <si>
    <t>*anticipated on the Quantum run at 250k</t>
  </si>
  <si>
    <t>Cream Soda</t>
  </si>
  <si>
    <t>Root Beer</t>
  </si>
  <si>
    <t>Units</t>
  </si>
  <si>
    <t>Higher because we didn’t get a full yield (until Quantum run)</t>
  </si>
  <si>
    <t>3rd delivery  - Added 12/31/2024</t>
  </si>
  <si>
    <t>Added 12/31/2024</t>
  </si>
  <si>
    <t>1680 Orange</t>
  </si>
  <si>
    <t>864 Cola</t>
  </si>
  <si>
    <t>576 Lemon Lime</t>
  </si>
  <si>
    <t>576 Cream Soda</t>
  </si>
  <si>
    <t>Not paying this shit</t>
  </si>
  <si>
    <t>units leftover from earlier production run</t>
  </si>
  <si>
    <t>Leftover Syrup</t>
  </si>
  <si>
    <t>121468733</t>
  </si>
  <si>
    <t>01222431</t>
  </si>
  <si>
    <t>Claassen Law Corp</t>
  </si>
  <si>
    <t>1366</t>
  </si>
  <si>
    <t>Quantum Canning</t>
  </si>
  <si>
    <t>121790334</t>
  </si>
  <si>
    <t>Craft Beverage Packaging Solutions</t>
  </si>
  <si>
    <t>573125</t>
  </si>
  <si>
    <t>ORTHODOX UNION</t>
  </si>
  <si>
    <t>Kosher Cost For Quantum</t>
  </si>
  <si>
    <t>Total Production Run 01/30/2025</t>
  </si>
  <si>
    <t>Quantuum delivery  - 01/30/2025</t>
  </si>
  <si>
    <t>OTHER COST</t>
  </si>
  <si>
    <t>probably belongs on previous run</t>
  </si>
  <si>
    <t>Legal fees?</t>
  </si>
  <si>
    <t>Raw Materials Account 02/06</t>
  </si>
  <si>
    <t>EST Case Cost</t>
  </si>
  <si>
    <t>Actual Case Cost</t>
  </si>
  <si>
    <t>cases</t>
  </si>
  <si>
    <t>Units (cans)</t>
  </si>
  <si>
    <t>ounces per can</t>
  </si>
  <si>
    <t>Ounces per gallon</t>
  </si>
  <si>
    <t>minimum gallons per unit</t>
  </si>
  <si>
    <t>units</t>
  </si>
  <si>
    <t>Row Labels</t>
  </si>
  <si>
    <t>Sum of Quantity</t>
  </si>
  <si>
    <t>24P121091 HANGAR 25 DIET COLA CASE</t>
  </si>
  <si>
    <t>24P126121 HANGAR 25 COLA CASE</t>
  </si>
  <si>
    <t>24P126141 CABLE CAR LEMON LIME CASE</t>
  </si>
  <si>
    <t>Diet</t>
  </si>
  <si>
    <t>24P126151 OAKTOWN ROOTBEER CASE</t>
  </si>
  <si>
    <t>24P126471 LOST ISLAND GINGER BEER CASE</t>
  </si>
  <si>
    <t>24P126481 GOLDEN GATE ORANGE CASE</t>
  </si>
  <si>
    <t>Grand Total</t>
  </si>
  <si>
    <t>July</t>
  </si>
  <si>
    <t>August</t>
  </si>
  <si>
    <t>September</t>
  </si>
  <si>
    <t>October</t>
  </si>
  <si>
    <t>November</t>
  </si>
  <si>
    <t>December</t>
  </si>
  <si>
    <t>Number we need to get to</t>
  </si>
  <si>
    <t>Units per run</t>
  </si>
  <si>
    <t>Ginger beer</t>
  </si>
  <si>
    <t>Total Runs</t>
  </si>
  <si>
    <t>Target</t>
  </si>
  <si>
    <t xml:space="preserve">Cases </t>
  </si>
  <si>
    <t>January</t>
  </si>
  <si>
    <t>February</t>
  </si>
  <si>
    <t>Tank Run</t>
  </si>
  <si>
    <t>Total Thru Feb</t>
  </si>
  <si>
    <t>Total Thru January</t>
  </si>
  <si>
    <t>Feb</t>
  </si>
  <si>
    <t>Tanks</t>
  </si>
  <si>
    <t>Partial</t>
  </si>
  <si>
    <t>Full</t>
  </si>
  <si>
    <t>Jan</t>
  </si>
  <si>
    <t>Finished Ounces</t>
  </si>
  <si>
    <t>Syrup Gallons</t>
  </si>
  <si>
    <t>Syrup Oz (5to1)</t>
  </si>
  <si>
    <t>Crème is approx  5% of sales</t>
  </si>
  <si>
    <t>*Ginger beer</t>
  </si>
  <si>
    <t>*Estimate</t>
  </si>
  <si>
    <t>Goal (12oz Units)</t>
  </si>
  <si>
    <t>Notes:</t>
  </si>
  <si>
    <t>Total Run Cost</t>
  </si>
  <si>
    <t>1000 gal increments</t>
  </si>
  <si>
    <t>Run Increments (gallons)</t>
  </si>
  <si>
    <t>Units per 1000 gallon runs</t>
  </si>
  <si>
    <t>Units (out of 250k)</t>
  </si>
  <si>
    <t>Rounded down</t>
  </si>
  <si>
    <t>Quantum</t>
  </si>
  <si>
    <t>Margin Per Gallon</t>
  </si>
  <si>
    <t>Units per gallon</t>
  </si>
  <si>
    <t>Cost per Unit</t>
  </si>
  <si>
    <t>?</t>
  </si>
  <si>
    <t>Subtotal</t>
  </si>
  <si>
    <t xml:space="preserve">Cost Per Unit </t>
  </si>
  <si>
    <t>Raw Syrup</t>
  </si>
  <si>
    <t>Exact Units</t>
  </si>
  <si>
    <t>Units (out of 200k)</t>
  </si>
  <si>
    <t>based on 04/04 email from JT</t>
  </si>
  <si>
    <t>jason@quantumcanning.com</t>
  </si>
  <si>
    <t>%</t>
  </si>
  <si>
    <t>Units (out of 202,300)</t>
  </si>
  <si>
    <t>Can raw materials as of 04/25</t>
  </si>
  <si>
    <t>Tolling cost to be billed</t>
  </si>
  <si>
    <t>Rate per case</t>
  </si>
  <si>
    <t>Travel (est)</t>
  </si>
  <si>
    <t>                    69,751</t>
  </si>
  <si>
    <t>                  64,000</t>
  </si>
  <si>
    <t>                     2,667</t>
  </si>
  <si>
    <t>                768,000</t>
  </si>
  <si>
    <t>              128,000</t>
  </si>
  <si>
    <t>                1,000</t>
  </si>
  <si>
    <t>                    55,901</t>
  </si>
  <si>
    <t>                  53,333</t>
  </si>
  <si>
    <t>                     2,222</t>
  </si>
  <si>
    <t>                640,000</t>
  </si>
  <si>
    <t>              106,667</t>
  </si>
  <si>
    <t>                   833</t>
  </si>
  <si>
    <t>                    48,173</t>
  </si>
  <si>
    <t>                  42,667</t>
  </si>
  <si>
    <t>                     1,778</t>
  </si>
  <si>
    <t>                512,000</t>
  </si>
  <si>
    <t>                85,333</t>
  </si>
  <si>
    <t>                   667</t>
  </si>
  <si>
    <t>                    38,840</t>
  </si>
  <si>
    <t>                  32,000</t>
  </si>
  <si>
    <t>                     1,333</t>
  </si>
  <si>
    <t>                384,000</t>
  </si>
  <si>
    <t>                64,000</t>
  </si>
  <si>
    <t>                   500</t>
  </si>
  <si>
    <t>                    18,667</t>
  </si>
  <si>
    <t>                  21,333</t>
  </si>
  <si>
    <t>                         889</t>
  </si>
  <si>
    <t>                256,000</t>
  </si>
  <si>
    <t>                42,667</t>
  </si>
  <si>
    <t>                   333</t>
  </si>
  <si>
    <t>                    250,000</t>
  </si>
  <si>
    <t>               245,333</t>
  </si>
  <si>
    <t>                   10,222</t>
  </si>
  <si>
    <t>             2,944,000</t>
  </si>
  <si>
    <t>              490,667</t>
  </si>
  <si>
    <t>                3,833</t>
  </si>
  <si>
    <t>sent to sky 03/27</t>
  </si>
  <si>
    <t>PO to Craft Beverage Warehouse 04/14/2025</t>
  </si>
  <si>
    <t>.w//</t>
  </si>
  <si>
    <t>COA?</t>
  </si>
  <si>
    <t>Total LBS</t>
  </si>
  <si>
    <t>KG to lbs</t>
  </si>
  <si>
    <t>LBS</t>
  </si>
  <si>
    <t>Sum</t>
  </si>
  <si>
    <t>Per each</t>
  </si>
  <si>
    <t>Qty</t>
  </si>
  <si>
    <t>Units (lbs/kg/g)</t>
  </si>
  <si>
    <t>BBD</t>
  </si>
  <si>
    <t>Lot Code</t>
  </si>
  <si>
    <t>Supplier</t>
  </si>
  <si>
    <t>Staff Initial</t>
  </si>
  <si>
    <t>Date Arrived</t>
  </si>
  <si>
    <t>INGREDIENTS</t>
  </si>
  <si>
    <t>TOTAL Set ASIDE FOR TOP HAT</t>
  </si>
  <si>
    <t>Yes</t>
  </si>
  <si>
    <t>lbs</t>
  </si>
  <si>
    <t>SG10525041</t>
  </si>
  <si>
    <t>California sugars</t>
  </si>
  <si>
    <t>CH</t>
  </si>
  <si>
    <t>Set aside for Shane of Top Hat</t>
  </si>
  <si>
    <t>TOTAL SUGAR</t>
  </si>
  <si>
    <t>Sugar Pallet 5</t>
  </si>
  <si>
    <t>Sugar Pallet 4</t>
  </si>
  <si>
    <t>Sugar Pallet 3</t>
  </si>
  <si>
    <t>Sugar Pallet 2</t>
  </si>
  <si>
    <t>Sugar Pallet 1</t>
  </si>
  <si>
    <t>TOTAL CARAMEL COLOR</t>
  </si>
  <si>
    <t>Sethness Roquette</t>
  </si>
  <si>
    <t>Caramel Color</t>
  </si>
  <si>
    <t>TOTAL SODIUM GLUCONATE</t>
  </si>
  <si>
    <t>checking</t>
  </si>
  <si>
    <t>5000508/1.1</t>
  </si>
  <si>
    <t>RG</t>
  </si>
  <si>
    <t>Sodium Gluconate</t>
  </si>
  <si>
    <t>TOTAL ERYTHRITOL</t>
  </si>
  <si>
    <t>R2408205</t>
  </si>
  <si>
    <t>Bulk Supplements</t>
  </si>
  <si>
    <t xml:space="preserve">Erythritol </t>
  </si>
  <si>
    <t>TOTAL SODIUM CITRATE</t>
  </si>
  <si>
    <t>SC2312009</t>
  </si>
  <si>
    <t>Daffodil Pharmachem</t>
  </si>
  <si>
    <t>Sodium Citrate</t>
  </si>
  <si>
    <t>TOTAL CITRIC ACID</t>
  </si>
  <si>
    <t>AA-24112237FG</t>
  </si>
  <si>
    <t>COFCO Biochemical CO LTD</t>
  </si>
  <si>
    <t>Citric Acid</t>
  </si>
  <si>
    <t>TOTAL LEMON UP</t>
  </si>
  <si>
    <t>2-092</t>
  </si>
  <si>
    <t>Boggini</t>
  </si>
  <si>
    <t>Lemon UP Flavor</t>
  </si>
  <si>
    <t>TOTAL HOT PEPPER FLAVOR</t>
  </si>
  <si>
    <t>Dayton Flavors</t>
  </si>
  <si>
    <t>Hot Pepper Flavor Partial</t>
  </si>
  <si>
    <t>Hot Pepper Flavor Full</t>
  </si>
  <si>
    <t>TOTAL COLA FLAVOR</t>
  </si>
  <si>
    <t>2-068</t>
  </si>
  <si>
    <t>I70 Cola Flavor Full</t>
  </si>
  <si>
    <t>I70 Cola Flavor Partial</t>
  </si>
  <si>
    <t>Trays</t>
  </si>
  <si>
    <t>Lemon Lime Cans</t>
  </si>
  <si>
    <t>Ginger Beer Cans</t>
  </si>
  <si>
    <t>Root Beer Cans</t>
  </si>
  <si>
    <t>Orange Cans</t>
  </si>
  <si>
    <t>Diet Cola Cans</t>
  </si>
  <si>
    <t>Cola Cans</t>
  </si>
  <si>
    <t>Item</t>
  </si>
  <si>
    <t>Total On Site</t>
  </si>
  <si>
    <t>CONSUMABLES (cans, ends, trays, etc)</t>
  </si>
  <si>
    <t>ON-HAND INGREDIENTS AND MATERIALS</t>
  </si>
  <si>
    <t>Last Date Inventoried</t>
  </si>
  <si>
    <t>Verified by</t>
  </si>
  <si>
    <t>CH RG</t>
  </si>
  <si>
    <t>Inventoried by</t>
  </si>
  <si>
    <t>Alameda Soda</t>
  </si>
  <si>
    <t>Canning Client</t>
  </si>
  <si>
    <t>Credit for overpayment to be wired - see 06/04 emails from JT and Callie</t>
  </si>
  <si>
    <t>CREDIT FOR OVERPAYMEN</t>
  </si>
  <si>
    <t>Vendor Credit</t>
  </si>
  <si>
    <t>06/11/2025</t>
  </si>
  <si>
    <t>06/05/2025</t>
  </si>
  <si>
    <t>May 2025 hours log</t>
  </si>
  <si>
    <t>BB-003</t>
  </si>
  <si>
    <t>five pallets Quantum to Brix</t>
  </si>
  <si>
    <t>123352230</t>
  </si>
  <si>
    <t>05/30/2025</t>
  </si>
  <si>
    <t>1462</t>
  </si>
  <si>
    <t>123317960</t>
  </si>
  <si>
    <t>05/27/2025</t>
  </si>
  <si>
    <t>123309151</t>
  </si>
  <si>
    <t>05/23/2025</t>
  </si>
  <si>
    <t>123179576</t>
  </si>
  <si>
    <t>05/15/2025</t>
  </si>
  <si>
    <t>freight</t>
  </si>
  <si>
    <t>Q26732</t>
  </si>
  <si>
    <t>05/14/2025</t>
  </si>
  <si>
    <t>1 GALLON HANGAR 25 COLA IN TOTAL OUNCES = 128 OUNCES = 1 GALLON</t>
  </si>
  <si>
    <t>Freight credit for diet cola mistake</t>
  </si>
  <si>
    <t>26731</t>
  </si>
  <si>
    <t>05/13/2025</t>
  </si>
  <si>
    <t>Brix Diet Hangar 25 Cola TOTE 760x$4.25</t>
  </si>
  <si>
    <t>22 pallets</t>
  </si>
  <si>
    <t>123106464</t>
  </si>
  <si>
    <t>05/07/2025</t>
  </si>
  <si>
    <t>canning fees</t>
  </si>
  <si>
    <t>26768</t>
  </si>
  <si>
    <t>05/01/2025</t>
  </si>
  <si>
    <t>123013922</t>
  </si>
  <si>
    <t>04/29/2025</t>
  </si>
  <si>
    <t>diet cola flavor the had to be dumped 10 04/28/2025</t>
  </si>
  <si>
    <t>04/28/2025</t>
  </si>
  <si>
    <t>diet cola sweetener that had to be dumped 40 04/28/2025</t>
  </si>
  <si>
    <t>2668</t>
  </si>
  <si>
    <t>04/25/2025</t>
  </si>
  <si>
    <t>American Express</t>
  </si>
  <si>
    <t>04/24/2025</t>
  </si>
  <si>
    <t>Deposit - adjusted to 251,988 units @ $ 0.37</t>
  </si>
  <si>
    <t>1430</t>
  </si>
  <si>
    <t>04/21/2025</t>
  </si>
  <si>
    <t>04/04/2025</t>
  </si>
  <si>
    <t>Deposit - 202,000 units @ $0.31</t>
  </si>
  <si>
    <t>1415</t>
  </si>
  <si>
    <t>Balance</t>
  </si>
  <si>
    <t>Item split account</t>
  </si>
  <si>
    <t>Transaction date</t>
  </si>
  <si>
    <t>TOTAL ALL SKUS</t>
  </si>
  <si>
    <t>TOTAL ROOT BEER</t>
  </si>
  <si>
    <t>Rootbeer #1</t>
  </si>
  <si>
    <t>Q0377</t>
  </si>
  <si>
    <t>Root Beer #4</t>
  </si>
  <si>
    <t>Q0396</t>
  </si>
  <si>
    <t>Root Beer #3</t>
  </si>
  <si>
    <t>Q0386</t>
  </si>
  <si>
    <t>Root Beer #2</t>
  </si>
  <si>
    <t>Q0385</t>
  </si>
  <si>
    <t>TOTAL ORANGE</t>
  </si>
  <si>
    <t>Orange #2</t>
  </si>
  <si>
    <t>Q0398</t>
  </si>
  <si>
    <t>Orange #1</t>
  </si>
  <si>
    <t>Q0374</t>
  </si>
  <si>
    <t>TOTAL LEMON LIME</t>
  </si>
  <si>
    <t>Lemon Lime #2</t>
  </si>
  <si>
    <t>Q0387</t>
  </si>
  <si>
    <t>Lemon Lime #1</t>
  </si>
  <si>
    <t>Q0373</t>
  </si>
  <si>
    <t>TOTAL GINGER BEER</t>
  </si>
  <si>
    <t>Ginger Beer #2</t>
  </si>
  <si>
    <t>Q0394</t>
  </si>
  <si>
    <t>Ginger Beer #1</t>
  </si>
  <si>
    <t>Q0378</t>
  </si>
  <si>
    <t>TOTAL DIET COLA</t>
  </si>
  <si>
    <t>Offset Needed</t>
  </si>
  <si>
    <t>not packaged</t>
  </si>
  <si>
    <t>Diet Cola- Dumped</t>
  </si>
  <si>
    <t>Q0376</t>
  </si>
  <si>
    <t>Paid</t>
  </si>
  <si>
    <t>Diet Cola #3</t>
  </si>
  <si>
    <t>Q0401B</t>
  </si>
  <si>
    <t>Balance Due</t>
  </si>
  <si>
    <t>Diet Cola #2</t>
  </si>
  <si>
    <t>Q0401</t>
  </si>
  <si>
    <t>Deposit Credit #1430</t>
  </si>
  <si>
    <t>Diet Cola #1</t>
  </si>
  <si>
    <t>Q0399</t>
  </si>
  <si>
    <t>Deposit Credit #1415</t>
  </si>
  <si>
    <t>TOTAL COLA</t>
  </si>
  <si>
    <t>Dunnage</t>
  </si>
  <si>
    <t>Quantum Invoiced</t>
  </si>
  <si>
    <t>Cola #5</t>
  </si>
  <si>
    <t>Q0397</t>
  </si>
  <si>
    <t>Velcorin</t>
  </si>
  <si>
    <t>Cola #4</t>
  </si>
  <si>
    <t>Q0393</t>
  </si>
  <si>
    <t>Run Cost at $0.61/can</t>
  </si>
  <si>
    <t>Cola #3</t>
  </si>
  <si>
    <t>Q0390</t>
  </si>
  <si>
    <t>Full Can Total</t>
  </si>
  <si>
    <t>Cola #2</t>
  </si>
  <si>
    <t>Q0379</t>
  </si>
  <si>
    <t>Quantum's Can Numbers</t>
  </si>
  <si>
    <t>Calli's Can Numbers</t>
  </si>
  <si>
    <t>Cola #1</t>
  </si>
  <si>
    <t>Q0375</t>
  </si>
  <si>
    <t>SKU</t>
  </si>
  <si>
    <t>Lot</t>
  </si>
  <si>
    <t xml:space="preserve">*$12416.60 should be left over for the excess sugar, five pallets, 251 bags of sugar for Alameda and 34 bags set aside for Shane, totaling 285 bags post run. 06/05/2025 email from Cali RE: 5/30 RE: End of week update </t>
  </si>
  <si>
    <t>01/31/2025</t>
  </si>
  <si>
    <t>02/02/2025</t>
  </si>
  <si>
    <t>included in 04042025 run</t>
  </si>
  <si>
    <t>7 layers of lemon lime leftover</t>
  </si>
  <si>
    <t>Total run cost</t>
  </si>
  <si>
    <t>credit for first run rate adjustment - see Sky's note to Calli in Trello</t>
  </si>
  <si>
    <t>1578</t>
  </si>
  <si>
    <t>Journal Entry</t>
  </si>
  <si>
    <t>06/15/2025</t>
  </si>
  <si>
    <t>1577</t>
  </si>
  <si>
    <t>06/14/2025</t>
  </si>
  <si>
    <t>Price per case</t>
  </si>
  <si>
    <t>should have had a higher yeild from the 10499 we orderded</t>
  </si>
  <si>
    <t>1560</t>
  </si>
  <si>
    <t>01/30/2025</t>
  </si>
  <si>
    <t xml:space="preserve">Quantum </t>
  </si>
  <si>
    <t>Total Cost</t>
  </si>
  <si>
    <t>*includes deduction for leftover sugar</t>
  </si>
  <si>
    <t xml:space="preserve">Other </t>
  </si>
  <si>
    <t xml:space="preserve">Cost </t>
  </si>
  <si>
    <t>Cost per Can</t>
  </si>
  <si>
    <t>Paktech</t>
  </si>
  <si>
    <r>
      <rPr>
        <sz val="8.5"/>
        <color rgb="FF231F20"/>
        <rFont val="Verdana"/>
        <family val="2"/>
      </rPr>
      <t xml:space="preserve">www.paktech-opi.com  </t>
    </r>
    <r>
      <rPr>
        <sz val="8.5"/>
        <color rgb="FFE52619"/>
        <rFont val="Verdana"/>
        <family val="2"/>
      </rPr>
      <t xml:space="preserve">|  </t>
    </r>
    <r>
      <rPr>
        <sz val="8.5"/>
        <color rgb="FF636466"/>
        <rFont val="Verdana"/>
        <family val="2"/>
      </rPr>
      <t xml:space="preserve">Phone: </t>
    </r>
    <r>
      <rPr>
        <sz val="8.5"/>
        <color rgb="FF231F20"/>
        <rFont val="Verdana"/>
        <family val="2"/>
      </rPr>
      <t xml:space="preserve">541.461.5000  </t>
    </r>
    <r>
      <rPr>
        <sz val="8.5"/>
        <color rgb="FFE52619"/>
        <rFont val="Verdana"/>
        <family val="2"/>
      </rPr>
      <t xml:space="preserve">|  </t>
    </r>
    <r>
      <rPr>
        <sz val="8.5"/>
        <color rgb="FF636466"/>
        <rFont val="Verdana"/>
        <family val="2"/>
      </rPr>
      <t xml:space="preserve">Fax: </t>
    </r>
    <r>
      <rPr>
        <sz val="8.5"/>
        <color rgb="FF231F20"/>
        <rFont val="Verdana"/>
        <family val="2"/>
      </rPr>
      <t xml:space="preserve">541.461.5005  </t>
    </r>
    <r>
      <rPr>
        <sz val="8.5"/>
        <color rgb="FFE52619"/>
        <rFont val="Verdana"/>
        <family val="2"/>
      </rPr>
      <t xml:space="preserve">|  </t>
    </r>
    <r>
      <rPr>
        <sz val="8.5"/>
        <color rgb="FF231F20"/>
        <rFont val="Verdana"/>
        <family val="2"/>
      </rPr>
      <t xml:space="preserve">Eugene, OR 97402  </t>
    </r>
    <r>
      <rPr>
        <sz val="8.5"/>
        <color rgb="FFE52619"/>
        <rFont val="Verdana"/>
        <family val="2"/>
      </rPr>
      <t xml:space="preserve">|  </t>
    </r>
    <r>
      <rPr>
        <sz val="8.5"/>
        <color rgb="FF636466"/>
        <rFont val="Verdana"/>
        <family val="2"/>
      </rPr>
      <t xml:space="preserve">Social: </t>
    </r>
    <r>
      <rPr>
        <sz val="8.5"/>
        <color rgb="FF231F20"/>
        <rFont val="Verdana"/>
        <family val="2"/>
      </rPr>
      <t>@PakTech</t>
    </r>
  </si>
  <si>
    <r>
      <rPr>
        <sz val="9"/>
        <color rgb="FF231F20"/>
        <rFont val="Arial Narrow"/>
        <family val="2"/>
      </rPr>
      <t xml:space="preserve">•       One-time start-up fee of $500 per each new UPC code or Deco label
</t>
    </r>
    <r>
      <rPr>
        <sz val="9"/>
        <color rgb="FF231F20"/>
        <rFont val="Arial Narrow"/>
        <family val="2"/>
      </rPr>
      <t xml:space="preserve">•       One color per pallet standard. Up to two colors per pallet with an additional fee of $400/pallet
</t>
    </r>
    <r>
      <rPr>
        <sz val="9"/>
        <color rgb="FF231F20"/>
        <rFont val="Arial Narrow"/>
        <family val="2"/>
      </rPr>
      <t xml:space="preserve">•       This pricing supersedes any previous pricing &amp; is subject to change due to unforeseen circumstances
</t>
    </r>
    <r>
      <rPr>
        <sz val="9"/>
        <color rgb="FF231F20"/>
        <rFont val="Arial Narrow"/>
        <family val="2"/>
      </rPr>
      <t xml:space="preserve">•       All sales are subject to our Terms and Conditions available at
</t>
    </r>
    <r>
      <rPr>
        <sz val="9"/>
        <color rgb="FF231F20"/>
        <rFont val="Arial Narrow"/>
        <family val="2"/>
      </rPr>
      <t>www.paktech-opi.com/terms</t>
    </r>
  </si>
  <si>
    <r>
      <rPr>
        <b/>
        <sz val="10"/>
        <color rgb="FF231F20"/>
        <rFont val="Arial"/>
        <family val="2"/>
      </rPr>
      <t xml:space="preserve">PLEASE NOTE:
</t>
    </r>
    <r>
      <rPr>
        <sz val="9"/>
        <color rgb="FF231F20"/>
        <rFont val="Arial Narrow"/>
        <family val="2"/>
      </rPr>
      <t xml:space="preserve">•       All pricing is in US Dollars, FOB Eugene, Oregon and is quoted by the thousand handles (M)
</t>
    </r>
    <r>
      <rPr>
        <sz val="9"/>
        <color rgb="FF231F20"/>
        <rFont val="Arial Narrow"/>
        <family val="2"/>
      </rPr>
      <t xml:space="preserve">•       Pricing subject to applicable surcharge effective at the time of order
</t>
    </r>
    <r>
      <rPr>
        <sz val="9"/>
        <color rgb="FF231F20"/>
        <rFont val="Arial Narrow"/>
        <family val="2"/>
      </rPr>
      <t>•       Minimum order quantity is 1 pallet</t>
    </r>
    <r>
      <rPr>
        <sz val="9"/>
        <color rgb="FF231F20"/>
        <rFont val="Garamond"/>
        <family val="1"/>
      </rPr>
      <t xml:space="preserve">. </t>
    </r>
    <r>
      <rPr>
        <sz val="9"/>
        <color rgb="FF231F20"/>
        <rFont val="Arial Narrow"/>
        <family val="2"/>
      </rPr>
      <t>Any orders less than 25,000 parts or 1 pallet (whichever is less) are $0.35/ea. and must be ordered in full box quantities</t>
    </r>
  </si>
  <si>
    <r>
      <rPr>
        <b/>
        <sz val="10"/>
        <color rgb="FF231F20"/>
        <rFont val="Arial"/>
        <family val="2"/>
      </rPr>
      <t xml:space="preserve">COLORS:
</t>
    </r>
    <r>
      <rPr>
        <sz val="10"/>
        <color rgb="FF231F20"/>
        <rFont val="Arial Narrow"/>
        <family val="2"/>
      </rPr>
      <t>•   Various colors offered. 31 standard colors plus custom color match. Value-added shelf appeal: Make your brand pop with our wide array of colors.</t>
    </r>
  </si>
  <si>
    <r>
      <rPr>
        <b/>
        <sz val="10"/>
        <color rgb="FF231F20"/>
        <rFont val="Arial"/>
        <family val="2"/>
      </rPr>
      <t xml:space="preserve">SIMPLE:
</t>
    </r>
    <r>
      <rPr>
        <sz val="10"/>
        <color rgb="FF231F20"/>
        <rFont val="Arial Narrow"/>
        <family val="2"/>
      </rPr>
      <t xml:space="preserve">Designed with the user in mind, PakTech handles are safe, secure, and user friendly. Highlight your brand with our minimal packaging handles.
</t>
    </r>
    <r>
      <rPr>
        <b/>
        <sz val="10"/>
        <color rgb="FF231F20"/>
        <rFont val="Arial"/>
        <family val="2"/>
      </rPr>
      <t xml:space="preserve">MADE IN USA:
</t>
    </r>
    <r>
      <rPr>
        <sz val="10"/>
        <color rgb="FF231F20"/>
        <rFont val="Arial Narrow"/>
        <family val="2"/>
      </rPr>
      <t>Made proudly in Eugene, Oregon USA</t>
    </r>
  </si>
  <si>
    <r>
      <rPr>
        <b/>
        <sz val="10"/>
        <color rgb="FF231F20"/>
        <rFont val="Arial"/>
        <family val="2"/>
      </rPr>
      <t xml:space="preserve">SMART:
</t>
    </r>
    <r>
      <rPr>
        <sz val="10"/>
        <color rgb="FF231F20"/>
        <rFont val="Arial Narrow"/>
        <family val="2"/>
      </rPr>
      <t xml:space="preserve">Our 100% recycled HDPE handles are strong, flexible, durable, and easy to apply. The smart way to protect your product.
</t>
    </r>
    <r>
      <rPr>
        <b/>
        <sz val="10"/>
        <color rgb="FF231F20"/>
        <rFont val="Arial"/>
        <family val="2"/>
      </rPr>
      <t xml:space="preserve">SUSTAINABLE:
</t>
    </r>
    <r>
      <rPr>
        <sz val="10"/>
        <color rgb="FF231F20"/>
        <rFont val="Arial Narrow"/>
        <family val="2"/>
      </rPr>
      <t>Made from 100% recycled HDPE and indefinitely recyclable. Our handles are the clear sustainable choice.</t>
    </r>
  </si>
  <si>
    <r>
      <rPr>
        <b/>
        <sz val="10"/>
        <color rgb="FF231F20"/>
        <rFont val="Arial"/>
        <family val="2"/>
      </rPr>
      <t xml:space="preserve">THE PAKTECH DIFFERENCE:
</t>
    </r>
    <r>
      <rPr>
        <sz val="10"/>
        <color rgb="FF231F20"/>
        <rFont val="Arial Narrow"/>
        <family val="2"/>
      </rPr>
      <t>•   What makes PakTech handles the preferred packaging choice? Easy: PakTech handles are Smart, Sustainable, Simple, and made in the USA.</t>
    </r>
  </si>
  <si>
    <r>
      <rPr>
        <sz val="10"/>
        <color rgb="FF231F20"/>
        <rFont val="Verdana"/>
        <family val="2"/>
      </rPr>
      <t>$25/1000 parts</t>
    </r>
  </si>
  <si>
    <r>
      <rPr>
        <b/>
        <sz val="10"/>
        <color rgb="FF231F20"/>
        <rFont val="Arial"/>
        <family val="2"/>
      </rPr>
      <t>DECO LABEL PRICING</t>
    </r>
  </si>
  <si>
    <r>
      <rPr>
        <sz val="10"/>
        <color rgb="FF231F20"/>
        <rFont val="Verdana"/>
        <family val="2"/>
      </rPr>
      <t>$18/1000 parts</t>
    </r>
  </si>
  <si>
    <r>
      <rPr>
        <b/>
        <sz val="10"/>
        <color rgb="FF231F20"/>
        <rFont val="Arial"/>
        <family val="2"/>
      </rPr>
      <t>UPC LABEL PRICING</t>
    </r>
  </si>
  <si>
    <r>
      <rPr>
        <b/>
        <sz val="10"/>
        <color rgb="FF231F20"/>
        <rFont val="Arial"/>
        <family val="2"/>
      </rPr>
      <t>LABEL</t>
    </r>
  </si>
  <si>
    <r>
      <rPr>
        <b/>
        <sz val="10"/>
        <color rgb="FF231F20"/>
        <rFont val="Arial"/>
        <family val="2"/>
      </rPr>
      <t>BOXES PER PALLET</t>
    </r>
  </si>
  <si>
    <r>
      <rPr>
        <sz val="10"/>
        <color rgb="FF231F20"/>
        <rFont val="Verdana"/>
        <family val="2"/>
      </rPr>
      <t>5-13</t>
    </r>
  </si>
  <si>
    <r>
      <rPr>
        <b/>
        <sz val="10"/>
        <color rgb="FF231F20"/>
        <rFont val="Arial"/>
        <family val="2"/>
      </rPr>
      <t>HANDLES PER BOX</t>
    </r>
  </si>
  <si>
    <r>
      <rPr>
        <sz val="10"/>
        <color rgb="FF231F20"/>
        <rFont val="Verdana"/>
        <family val="2"/>
      </rPr>
      <t>14-25</t>
    </r>
  </si>
  <si>
    <r>
      <rPr>
        <b/>
        <sz val="10"/>
        <color rgb="FF231F20"/>
        <rFont val="Arial"/>
        <family val="2"/>
      </rPr>
      <t>HANDLES PER PALLET</t>
    </r>
  </si>
  <si>
    <r>
      <rPr>
        <sz val="10"/>
        <color rgb="FF231F20"/>
        <rFont val="Verdana"/>
        <family val="2"/>
      </rPr>
      <t>26-30</t>
    </r>
  </si>
  <si>
    <r>
      <rPr>
        <b/>
        <sz val="10"/>
        <color rgb="FF231F20"/>
        <rFont val="Arial"/>
        <family val="2"/>
      </rPr>
      <t>PACKAGING</t>
    </r>
  </si>
  <si>
    <r>
      <rPr>
        <b/>
        <sz val="10"/>
        <color rgb="FF231F20"/>
        <rFont val="Arial"/>
        <family val="2"/>
      </rPr>
      <t>PRICE PER 1000 PARTS</t>
    </r>
  </si>
  <si>
    <r>
      <rPr>
        <b/>
        <sz val="10"/>
        <color rgb="FF231F20"/>
        <rFont val="Arial"/>
        <family val="2"/>
      </rPr>
      <t>PALLETS</t>
    </r>
  </si>
  <si>
    <r>
      <rPr>
        <sz val="10"/>
        <color rgb="FF231F20"/>
        <rFont val="Verdana"/>
        <family val="2"/>
      </rPr>
      <t>1/1/2025 - 12/31/2025</t>
    </r>
  </si>
  <si>
    <r>
      <rPr>
        <b/>
        <sz val="10"/>
        <color rgb="FF231F20"/>
        <rFont val="Arial"/>
        <family val="2"/>
      </rPr>
      <t>EFFECTIVE DATES</t>
    </r>
  </si>
  <si>
    <r>
      <rPr>
        <b/>
        <sz val="10"/>
        <color rgb="FF231F20"/>
        <rFont val="Arial"/>
        <family val="2"/>
      </rPr>
      <t>QPCE-202-227-PCR</t>
    </r>
  </si>
  <si>
    <r>
      <rPr>
        <b/>
        <sz val="10"/>
        <color rgb="FF231F20"/>
        <rFont val="Arial"/>
        <family val="2"/>
      </rPr>
      <t>HANDLE</t>
    </r>
  </si>
  <si>
    <r>
      <rPr>
        <u/>
        <sz val="22"/>
        <color rgb="FF231F20"/>
        <rFont val="Verdana"/>
        <family val="2"/>
      </rPr>
      <t>                 2025 </t>
    </r>
    <r>
      <rPr>
        <b/>
        <u/>
        <sz val="22"/>
        <color rgb="FF231F20"/>
        <rFont val="Arial"/>
        <family val="2"/>
      </rPr>
      <t>PRICE SHEET</t>
    </r>
  </si>
  <si>
    <t>Price</t>
  </si>
  <si>
    <t>Unit</t>
  </si>
  <si>
    <t>Price per unit</t>
  </si>
  <si>
    <t>Units per Case</t>
  </si>
  <si>
    <t>Cost per Case</t>
  </si>
  <si>
    <t>Cost per pallet</t>
  </si>
  <si>
    <t>Pallets of Soda</t>
  </si>
  <si>
    <t xml:space="preserve">Soda Cases per Paktech pallet </t>
  </si>
  <si>
    <t>Total with UPC</t>
  </si>
  <si>
    <t>don't need deco label</t>
  </si>
  <si>
    <t>wouldn't know mix</t>
  </si>
  <si>
    <t>Cans orderd</t>
  </si>
  <si>
    <t>Yeild</t>
  </si>
  <si>
    <t>\</t>
  </si>
  <si>
    <t>Tank size (gallons)</t>
  </si>
  <si>
    <t>12oz units</t>
  </si>
  <si>
    <t>DELETE</t>
  </si>
  <si>
    <t>*run Orange and Rootbeer in October?</t>
  </si>
  <si>
    <t>15 pallets and below should go on an LTL</t>
  </si>
  <si>
    <t>Goal</t>
  </si>
  <si>
    <t>Dif</t>
  </si>
  <si>
    <t>55lb</t>
  </si>
  <si>
    <t>Erythritol cost</t>
  </si>
  <si>
    <t xml:space="preserve">*how many pallets per truck?  22 FTL </t>
  </si>
  <si>
    <t>Post Yield CS</t>
  </si>
  <si>
    <t xml:space="preserve">Post </t>
  </si>
  <si>
    <t>BB-007</t>
  </si>
  <si>
    <t>1618</t>
  </si>
  <si>
    <t>11/06/2025</t>
  </si>
  <si>
    <t>125812521</t>
  </si>
  <si>
    <t>11/05/2025</t>
  </si>
  <si>
    <t>2,407.71</t>
  </si>
  <si>
    <t>10/24/2025</t>
  </si>
  <si>
    <t>BB-005</t>
  </si>
  <si>
    <t>10/07/2025</t>
  </si>
  <si>
    <t>1583</t>
  </si>
  <si>
    <t>09/26/2025</t>
  </si>
  <si>
    <t>1538</t>
  </si>
  <si>
    <t>BB004</t>
  </si>
  <si>
    <t>09/03/2025</t>
  </si>
  <si>
    <t>account</t>
  </si>
  <si>
    <t>08/26/2025</t>
  </si>
  <si>
    <t xml:space="preserve">5597 is a credit that we might realize from the previous run. Need to figure out credit from this run. </t>
  </si>
  <si>
    <t>11/03/2025</t>
  </si>
  <si>
    <t>flavor</t>
  </si>
  <si>
    <t>27001</t>
  </si>
  <si>
    <t>cream soda</t>
  </si>
  <si>
    <t>root beer</t>
  </si>
  <si>
    <t>orange</t>
  </si>
  <si>
    <t>Cost</t>
  </si>
  <si>
    <t>NEW Capital One Business Card</t>
  </si>
  <si>
    <t>Receipt for coffee and croissant purchase at Farley's in Oakland Airport</t>
  </si>
  <si>
    <t>226</t>
  </si>
  <si>
    <t>11/01/2025</t>
  </si>
  <si>
    <t>ENTERPRISE RENT-A-CAR - 8703 Denver production</t>
  </si>
  <si>
    <t>Enterprise Rent-A-Car</t>
  </si>
  <si>
    <t>DEN SMASH BURGER C #68 - 8703 Denver canning run</t>
  </si>
  <si>
    <t>OAK SHOP THE TOWN - 8703</t>
  </si>
  <si>
    <t>OAK SHOP THE TOWN - 8703 Denver Run</t>
  </si>
  <si>
    <t>Southwest</t>
  </si>
  <si>
    <t>AC CALDERONI Canning Fees</t>
  </si>
  <si>
    <t>this is the value of 14179lbs of the leftover sugar</t>
  </si>
  <si>
    <t>1700 lbs of Sugar to be charged to Shane Top Hat</t>
  </si>
  <si>
    <t>4346lbs of Sugar used in November 2025 Alameda run</t>
  </si>
  <si>
    <t xml:space="preserve">NEED TO JE </t>
  </si>
  <si>
    <t>*This is the down payment applied to the next run</t>
  </si>
  <si>
    <t>Travel</t>
  </si>
  <si>
    <t>Nov 2025</t>
  </si>
  <si>
    <t>Apr 2025</t>
  </si>
  <si>
    <t>Orthodox Union</t>
  </si>
  <si>
    <t>Calli - Craft Beverage Packaging Solutions</t>
  </si>
  <si>
    <t>AC Calderoni Ingredients</t>
  </si>
  <si>
    <t>AC Cald Canning Fees</t>
  </si>
  <si>
    <t>Future</t>
  </si>
  <si>
    <t>Total Gallons</t>
  </si>
  <si>
    <t>Canning Fee</t>
  </si>
  <si>
    <t>Total Fee</t>
  </si>
  <si>
    <t xml:space="preserve">diet cola </t>
  </si>
  <si>
    <t>lemon lime</t>
  </si>
  <si>
    <t>ginger beer</t>
  </si>
  <si>
    <t>Current Balance</t>
  </si>
  <si>
    <t>Add back credit (that we haven't realized)</t>
  </si>
  <si>
    <t xml:space="preserve">Add TFC </t>
  </si>
  <si>
    <t>Subtract down payment for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</si>
</sst>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_);_(&quot;$&quot;* \(#,##0.000\);_(&quot;$&quot;* &quot;-&quot;??_);_(@_)"/>
    <numFmt numFmtId="166" formatCode="_(&quot;$&quot;* #,##0.00000_);_(&quot;$&quot;* \(#,##0.00000\);_(&quot;$&quot;* &quot;-&quot;??_);_(@_)"/>
    <numFmt numFmtId="167" formatCode="_(&quot;$&quot;* #,##0_);_(&quot;$&quot;* \(#,##0\);_(&quot;$&quot;* &quot;-&quot;??_);_(@_)"/>
    <numFmt numFmtId="168" formatCode="#,##0.00\ _€"/>
    <numFmt numFmtId="169" formatCode="0.000"/>
    <numFmt numFmtId="170" formatCode="\$#,##0.00"/>
    <numFmt numFmtId="171" formatCode="mm/dd/yyyy"/>
    <numFmt numFmtId="172" formatCode="_(&quot;$&quot;* #,##0.0000_);_(&quot;$&quot;* \(#,##0.0000\);_(&quot;$&quot;* &quot;-&quot;??_);_(@_)"/>
    <numFmt numFmtId="173" formatCode="0.0"/>
    <numFmt numFmtId="174" formatCode="_(&quot;$&quot;* #,##0.00000000_);_(&quot;$&quot;* \(#,##0.00000000\);_(&quot;$&quot;* &quot;-&quot;??_);_(@_)"/>
    <numFmt numFmtId="175" formatCode="mm/dd/yy"/>
    <numFmt numFmtId="176" formatCode="m/d/yy"/>
    <numFmt numFmtId="177" formatCode="mm/dd/yyyy\ hh:mm:ss\ \a"/>
    <numFmt numFmtId="178" formatCode="_-* #,##0.00_-;\-* #,##0.00_-;_-* &quot;-&quot;??_-;_-@_-"/>
    <numFmt numFmtId="179" formatCode="_-* #,##0_-;\-* #,##0_-;_-* &quot;-&quot;??_-;_-@_-"/>
    <numFmt numFmtId="180" formatCode="_-&quot;$&quot;* #,##0.00_-;\-&quot;$&quot;* #,##0.00_-;_-&quot;$&quot;* &quot;-&quot;??_-;_-@_-"/>
    <numFmt numFmtId="181" formatCode="&quot;$&quot;#,##0.00;[Red]\-&quot;$&quot;#,##0.00"/>
    <numFmt numFmtId="182" formatCode="\$0.00"/>
  </numFmts>
  <fonts count="6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444444"/>
      <name val="Arial"/>
      <family val="2"/>
    </font>
    <font>
      <u/>
      <sz val="12"/>
      <color theme="10"/>
      <name val="Calibri"/>
      <family val="2"/>
      <scheme val="minor"/>
    </font>
    <font>
      <sz val="12"/>
      <color rgb="FF444444"/>
      <name val="Arial"/>
      <family val="2"/>
    </font>
    <font>
      <sz val="12"/>
      <color rgb="FFFF0000"/>
      <name val="Calibri"/>
      <family val="2"/>
      <scheme val="minor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7"/>
      <color rgb="FF365EBF"/>
      <name val="Arial"/>
      <family val="2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0"/>
      <color rgb="FF00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4"/>
      <color theme="1"/>
      <name val="Arial"/>
      <family val="2"/>
    </font>
    <font>
      <sz val="10"/>
      <color rgb="FF000000"/>
      <name val="Times New Roman"/>
      <family val="1"/>
    </font>
    <font>
      <sz val="8.5"/>
      <name val="Verdana"/>
      <family val="2"/>
    </font>
    <font>
      <sz val="8.5"/>
      <color rgb="FF231F20"/>
      <name val="Verdana"/>
      <family val="2"/>
    </font>
    <font>
      <sz val="8.5"/>
      <color rgb="FFE52619"/>
      <name val="Verdana"/>
      <family val="2"/>
    </font>
    <font>
      <sz val="8.5"/>
      <color rgb="FF636466"/>
      <name val="Verdana"/>
      <family val="2"/>
    </font>
    <font>
      <sz val="9"/>
      <color rgb="FF231F20"/>
      <name val="Arial Narrow"/>
      <family val="2"/>
    </font>
    <font>
      <b/>
      <sz val="10"/>
      <color rgb="FF231F20"/>
      <name val="Arial"/>
      <family val="2"/>
    </font>
    <font>
      <sz val="9"/>
      <color rgb="FF231F20"/>
      <name val="Garamond"/>
      <family val="1"/>
    </font>
    <font>
      <sz val="10"/>
      <color rgb="FF231F20"/>
      <name val="Arial Narrow"/>
      <family val="2"/>
    </font>
    <font>
      <sz val="10"/>
      <name val="Verdana"/>
      <family val="2"/>
    </font>
    <font>
      <sz val="10"/>
      <color rgb="FF231F20"/>
      <name val="Verdana"/>
      <family val="2"/>
    </font>
    <font>
      <b/>
      <sz val="10"/>
      <name val="Arial"/>
      <family val="2"/>
    </font>
    <font>
      <u/>
      <sz val="22"/>
      <color rgb="FF231F20"/>
      <name val="Verdana"/>
      <family val="2"/>
    </font>
    <font>
      <b/>
      <u/>
      <sz val="22"/>
      <color rgb="FF231F20"/>
      <name val="Arial"/>
      <family val="2"/>
    </font>
    <font>
      <b/>
      <sz val="10"/>
      <color rgb="FF000000"/>
      <name val="Times New Roman"/>
      <family val="1"/>
    </font>
    <font>
      <sz val="12"/>
      <color theme="1"/>
      <name val="Aptos"/>
      <family val="2"/>
    </font>
    <font>
      <u/>
      <sz val="8"/>
      <color rgb="FF0077C5"/>
      <name val="Arial"/>
      <family val="2"/>
    </font>
    <font>
      <b/>
      <sz val="22"/>
      <color rgb="FF393A3D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indexed="64"/>
      </patternFill>
    </fill>
    <fill>
      <patternFill patternType="solid">
        <fgColor rgb="FFE52619"/>
      </patternFill>
    </fill>
    <fill>
      <patternFill patternType="solid">
        <fgColor rgb="FFE6E7E8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C7C8CA"/>
      </left>
      <right style="thin">
        <color rgb="FFC7C8CA"/>
      </right>
      <top style="thin">
        <color rgb="FFC7C8CA"/>
      </top>
      <bottom style="thin">
        <color rgb="FFC7C8CA"/>
      </bottom>
      <diagonal/>
    </border>
    <border>
      <left/>
      <right style="thin">
        <color rgb="FFC7C8CA"/>
      </right>
      <top style="thin">
        <color rgb="FFC7C8CA"/>
      </top>
      <bottom style="thin">
        <color rgb="FFC7C8CA"/>
      </bottom>
      <diagonal/>
    </border>
    <border>
      <left style="thin">
        <color rgb="FFC7C8CA"/>
      </left>
      <right/>
      <top style="thin">
        <color rgb="FFC7C8CA"/>
      </top>
      <bottom style="thin">
        <color rgb="FFC7C8CA"/>
      </bottom>
      <diagonal/>
    </border>
  </borders>
  <cellStyleXfs count="21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4" fillId="0" borderId="2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3" fillId="0" borderId="0"/>
    <xf numFmtId="0" fontId="1" fillId="0" borderId="0"/>
    <xf numFmtId="17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50" fillId="0" borderId="0"/>
  </cellStyleXfs>
  <cellXfs count="389">
    <xf numFmtId="0" fontId="0" fillId="0" borderId="0" xfId="0"/>
    <xf numFmtId="44" fontId="0" fillId="0" borderId="0" xfId="2" applyFont="1"/>
    <xf numFmtId="44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0" fontId="7" fillId="0" borderId="0" xfId="0" applyFont="1"/>
    <xf numFmtId="9" fontId="7" fillId="0" borderId="0" xfId="0" applyNumberFormat="1" applyFont="1"/>
    <xf numFmtId="9" fontId="0" fillId="0" borderId="0" xfId="0" applyNumberFormat="1"/>
    <xf numFmtId="9" fontId="9" fillId="0" borderId="0" xfId="0" applyNumberFormat="1" applyFont="1"/>
    <xf numFmtId="44" fontId="0" fillId="2" borderId="1" xfId="2" applyFont="1" applyFill="1" applyBorder="1"/>
    <xf numFmtId="0" fontId="9" fillId="0" borderId="0" xfId="0" applyFont="1"/>
    <xf numFmtId="44" fontId="9" fillId="0" borderId="0" xfId="2" applyFont="1"/>
    <xf numFmtId="0" fontId="11" fillId="0" borderId="0" xfId="3" applyFont="1"/>
    <xf numFmtId="0" fontId="12" fillId="0" borderId="0" xfId="0" applyFont="1"/>
    <xf numFmtId="44" fontId="12" fillId="0" borderId="0" xfId="2" applyFont="1"/>
    <xf numFmtId="9" fontId="12" fillId="0" borderId="0" xfId="0" applyNumberFormat="1" applyFont="1"/>
    <xf numFmtId="44" fontId="12" fillId="0" borderId="0" xfId="0" applyNumberFormat="1" applyFont="1"/>
    <xf numFmtId="0" fontId="12" fillId="4" borderId="0" xfId="0" applyFont="1" applyFill="1"/>
    <xf numFmtId="44" fontId="12" fillId="0" borderId="2" xfId="2" applyFont="1" applyBorder="1"/>
    <xf numFmtId="1" fontId="12" fillId="0" borderId="0" xfId="0" applyNumberFormat="1" applyFont="1"/>
    <xf numFmtId="1" fontId="0" fillId="0" borderId="0" xfId="0" applyNumberFormat="1"/>
    <xf numFmtId="1" fontId="12" fillId="0" borderId="2" xfId="0" applyNumberFormat="1" applyFont="1" applyBorder="1"/>
    <xf numFmtId="1" fontId="9" fillId="0" borderId="0" xfId="0" applyNumberFormat="1" applyFont="1"/>
    <xf numFmtId="1" fontId="9" fillId="0" borderId="2" xfId="0" applyNumberFormat="1" applyFont="1" applyBorder="1"/>
    <xf numFmtId="164" fontId="10" fillId="3" borderId="0" xfId="1" applyNumberFormat="1" applyFont="1" applyFill="1"/>
    <xf numFmtId="164" fontId="0" fillId="0" borderId="0" xfId="0" applyNumberFormat="1"/>
    <xf numFmtId="165" fontId="0" fillId="0" borderId="0" xfId="2" applyNumberFormat="1" applyFont="1"/>
    <xf numFmtId="44" fontId="0" fillId="0" borderId="2" xfId="2" applyFont="1" applyBorder="1"/>
    <xf numFmtId="8" fontId="0" fillId="0" borderId="0" xfId="0" applyNumberFormat="1"/>
    <xf numFmtId="0" fontId="0" fillId="5" borderId="0" xfId="0" applyFill="1"/>
    <xf numFmtId="44" fontId="0" fillId="5" borderId="0" xfId="0" applyNumberFormat="1" applyFill="1"/>
    <xf numFmtId="0" fontId="0" fillId="6" borderId="0" xfId="0" applyFill="1"/>
    <xf numFmtId="165" fontId="0" fillId="6" borderId="0" xfId="2" applyNumberFormat="1" applyFont="1" applyFill="1"/>
    <xf numFmtId="8" fontId="0" fillId="0" borderId="0" xfId="0" applyNumberFormat="1" applyAlignment="1">
      <alignment horizontal="center" vertical="center"/>
    </xf>
    <xf numFmtId="3" fontId="0" fillId="0" borderId="0" xfId="0" applyNumberFormat="1"/>
    <xf numFmtId="44" fontId="0" fillId="0" borderId="2" xfId="0" applyNumberFormat="1" applyBorder="1"/>
    <xf numFmtId="0" fontId="0" fillId="0" borderId="2" xfId="0" applyBorder="1"/>
    <xf numFmtId="166" fontId="0" fillId="0" borderId="0" xfId="0" applyNumberFormat="1"/>
    <xf numFmtId="165" fontId="0" fillId="0" borderId="0" xfId="0" applyNumberFormat="1"/>
    <xf numFmtId="0" fontId="8" fillId="0" borderId="0" xfId="3"/>
    <xf numFmtId="0" fontId="0" fillId="0" borderId="0" xfId="0" applyAlignment="1">
      <alignment vertical="center"/>
    </xf>
    <xf numFmtId="3" fontId="9" fillId="0" borderId="0" xfId="0" applyNumberFormat="1" applyFont="1" applyAlignment="1">
      <alignment vertical="center"/>
    </xf>
    <xf numFmtId="44" fontId="0" fillId="0" borderId="0" xfId="2" applyFont="1" applyBorder="1"/>
    <xf numFmtId="167" fontId="0" fillId="0" borderId="0" xfId="2" applyNumberFormat="1" applyFont="1"/>
    <xf numFmtId="2" fontId="0" fillId="0" borderId="0" xfId="0" applyNumberFormat="1"/>
    <xf numFmtId="167" fontId="0" fillId="0" borderId="0" xfId="0" quotePrefix="1" applyNumberFormat="1"/>
    <xf numFmtId="167" fontId="0" fillId="0" borderId="2" xfId="0" applyNumberFormat="1" applyBorder="1"/>
    <xf numFmtId="167" fontId="0" fillId="0" borderId="0" xfId="0" applyNumberFormat="1"/>
    <xf numFmtId="0" fontId="0" fillId="3" borderId="0" xfId="0" applyFill="1"/>
    <xf numFmtId="44" fontId="0" fillId="3" borderId="0" xfId="2" applyFont="1" applyFill="1" applyBorder="1"/>
    <xf numFmtId="44" fontId="0" fillId="3" borderId="0" xfId="2" applyFont="1" applyFill="1"/>
    <xf numFmtId="164" fontId="0" fillId="0" borderId="0" xfId="4" applyNumberFormat="1" applyFont="1"/>
    <xf numFmtId="44" fontId="0" fillId="3" borderId="0" xfId="0" applyNumberFormat="1" applyFill="1"/>
    <xf numFmtId="1" fontId="0" fillId="3" borderId="0" xfId="0" applyNumberFormat="1" applyFill="1"/>
    <xf numFmtId="0" fontId="15" fillId="0" borderId="0" xfId="5"/>
    <xf numFmtId="168" fontId="16" fillId="0" borderId="0" xfId="5" applyNumberFormat="1" applyFont="1" applyAlignment="1">
      <alignment horizontal="right" wrapText="1"/>
    </xf>
    <xf numFmtId="0" fontId="16" fillId="0" borderId="0" xfId="5" applyFont="1" applyAlignment="1">
      <alignment horizontal="left" wrapText="1"/>
    </xf>
    <xf numFmtId="168" fontId="15" fillId="0" borderId="0" xfId="5" applyNumberFormat="1"/>
    <xf numFmtId="0" fontId="17" fillId="0" borderId="2" xfId="5" applyFont="1" applyBorder="1" applyAlignment="1">
      <alignment horizontal="center" wrapText="1"/>
    </xf>
    <xf numFmtId="4" fontId="15" fillId="0" borderId="0" xfId="5" applyNumberFormat="1"/>
    <xf numFmtId="169" fontId="15" fillId="0" borderId="0" xfId="5" applyNumberFormat="1"/>
    <xf numFmtId="2" fontId="15" fillId="0" borderId="0" xfId="5" applyNumberFormat="1"/>
    <xf numFmtId="44" fontId="0" fillId="0" borderId="0" xfId="2" applyFont="1" applyFill="1"/>
    <xf numFmtId="44" fontId="0" fillId="0" borderId="0" xfId="2" applyFont="1" applyFill="1" applyBorder="1"/>
    <xf numFmtId="0" fontId="18" fillId="0" borderId="0" xfId="5" applyFont="1"/>
    <xf numFmtId="4" fontId="18" fillId="0" borderId="0" xfId="5" applyNumberFormat="1" applyFont="1"/>
    <xf numFmtId="44" fontId="15" fillId="0" borderId="0" xfId="5" applyNumberFormat="1"/>
    <xf numFmtId="0" fontId="14" fillId="0" borderId="0" xfId="0" applyFont="1"/>
    <xf numFmtId="14" fontId="18" fillId="0" borderId="0" xfId="5" applyNumberFormat="1" applyFont="1" applyAlignment="1">
      <alignment horizontal="center"/>
    </xf>
    <xf numFmtId="0" fontId="14" fillId="0" borderId="0" xfId="5" applyFont="1"/>
    <xf numFmtId="167" fontId="15" fillId="0" borderId="0" xfId="5" quotePrefix="1" applyNumberFormat="1"/>
    <xf numFmtId="167" fontId="15" fillId="0" borderId="2" xfId="5" applyNumberFormat="1" applyBorder="1"/>
    <xf numFmtId="167" fontId="15" fillId="0" borderId="0" xfId="5" applyNumberFormat="1"/>
    <xf numFmtId="44" fontId="0" fillId="0" borderId="2" xfId="6" applyFont="1" applyBorder="1"/>
    <xf numFmtId="0" fontId="15" fillId="0" borderId="2" xfId="5" applyBorder="1"/>
    <xf numFmtId="44" fontId="0" fillId="0" borderId="0" xfId="6" applyFont="1" applyFill="1" applyBorder="1"/>
    <xf numFmtId="44" fontId="0" fillId="0" borderId="0" xfId="6" applyFont="1" applyFill="1"/>
    <xf numFmtId="44" fontId="0" fillId="0" borderId="0" xfId="6" applyFont="1"/>
    <xf numFmtId="164" fontId="18" fillId="0" borderId="0" xfId="7" applyNumberFormat="1" applyFont="1"/>
    <xf numFmtId="164" fontId="18" fillId="0" borderId="0" xfId="1" applyNumberFormat="1" applyFont="1"/>
    <xf numFmtId="0" fontId="19" fillId="0" borderId="0" xfId="0" applyFont="1"/>
    <xf numFmtId="44" fontId="19" fillId="0" borderId="0" xfId="0" applyNumberFormat="1" applyFont="1"/>
    <xf numFmtId="0" fontId="14" fillId="3" borderId="0" xfId="0" applyFont="1" applyFill="1"/>
    <xf numFmtId="0" fontId="15" fillId="0" borderId="0" xfId="5" applyAlignment="1">
      <alignment horizontal="right"/>
    </xf>
    <xf numFmtId="0" fontId="20" fillId="0" borderId="0" xfId="5" applyFont="1" applyAlignment="1">
      <alignment horizontal="right"/>
    </xf>
    <xf numFmtId="43" fontId="20" fillId="0" borderId="0" xfId="1" applyFont="1"/>
    <xf numFmtId="0" fontId="13" fillId="0" borderId="0" xfId="5" applyFont="1"/>
    <xf numFmtId="0" fontId="21" fillId="0" borderId="0" xfId="5" applyFont="1" applyAlignment="1">
      <alignment horizontal="left" wrapText="1"/>
    </xf>
    <xf numFmtId="168" fontId="22" fillId="0" borderId="0" xfId="5" applyNumberFormat="1" applyFont="1" applyAlignment="1">
      <alignment horizontal="right" wrapText="1"/>
    </xf>
    <xf numFmtId="0" fontId="18" fillId="0" borderId="5" xfId="5" applyFont="1" applyBorder="1"/>
    <xf numFmtId="164" fontId="18" fillId="0" borderId="6" xfId="1" applyNumberFormat="1" applyFont="1" applyBorder="1"/>
    <xf numFmtId="0" fontId="18" fillId="0" borderId="6" xfId="5" applyFont="1" applyBorder="1"/>
    <xf numFmtId="0" fontId="0" fillId="0" borderId="5" xfId="0" applyBorder="1"/>
    <xf numFmtId="0" fontId="14" fillId="0" borderId="6" xfId="0" applyFont="1" applyBorder="1"/>
    <xf numFmtId="0" fontId="14" fillId="0" borderId="5" xfId="0" applyFont="1" applyBorder="1"/>
    <xf numFmtId="44" fontId="0" fillId="0" borderId="6" xfId="2" applyFont="1" applyBorder="1"/>
    <xf numFmtId="44" fontId="0" fillId="0" borderId="6" xfId="0" applyNumberFormat="1" applyBorder="1"/>
    <xf numFmtId="44" fontId="0" fillId="0" borderId="6" xfId="2" applyFont="1" applyFill="1" applyBorder="1"/>
    <xf numFmtId="44" fontId="0" fillId="0" borderId="7" xfId="2" applyFont="1" applyBorder="1"/>
    <xf numFmtId="0" fontId="19" fillId="0" borderId="5" xfId="0" applyFont="1" applyBorder="1"/>
    <xf numFmtId="44" fontId="19" fillId="0" borderId="6" xfId="0" applyNumberFormat="1" applyFont="1" applyBorder="1"/>
    <xf numFmtId="0" fontId="14" fillId="0" borderId="8" xfId="0" applyFont="1" applyBorder="1"/>
    <xf numFmtId="44" fontId="0" fillId="0" borderId="9" xfId="0" applyNumberFormat="1" applyBorder="1"/>
    <xf numFmtId="0" fontId="0" fillId="0" borderId="0" xfId="0" applyAlignment="1">
      <alignment wrapText="1"/>
    </xf>
    <xf numFmtId="170" fontId="24" fillId="0" borderId="10" xfId="0" applyNumberFormat="1" applyFont="1" applyBorder="1" applyAlignment="1">
      <alignment wrapText="1"/>
    </xf>
    <xf numFmtId="0" fontId="24" fillId="0" borderId="0" xfId="0" applyFont="1" applyAlignment="1">
      <alignment horizontal="left" wrapText="1"/>
    </xf>
    <xf numFmtId="4" fontId="23" fillId="0" borderId="0" xfId="0" applyNumberFormat="1" applyFont="1" applyAlignment="1">
      <alignment wrapText="1"/>
    </xf>
    <xf numFmtId="0" fontId="23" fillId="0" borderId="0" xfId="0" applyFont="1" applyAlignment="1">
      <alignment wrapText="1"/>
    </xf>
    <xf numFmtId="171" fontId="23" fillId="0" borderId="0" xfId="0" applyNumberFormat="1" applyFont="1" applyAlignment="1">
      <alignment wrapText="1"/>
    </xf>
    <xf numFmtId="4" fontId="23" fillId="0" borderId="2" xfId="0" applyNumberFormat="1" applyFont="1" applyBorder="1" applyAlignment="1">
      <alignment wrapText="1"/>
    </xf>
    <xf numFmtId="44" fontId="0" fillId="0" borderId="7" xfId="8" applyFont="1" applyBorder="1"/>
    <xf numFmtId="44" fontId="0" fillId="0" borderId="6" xfId="8" applyFont="1" applyFill="1" applyBorder="1"/>
    <xf numFmtId="44" fontId="0" fillId="0" borderId="6" xfId="8" applyFont="1" applyBorder="1"/>
    <xf numFmtId="164" fontId="18" fillId="0" borderId="6" xfId="9" applyNumberFormat="1" applyFont="1" applyBorder="1"/>
    <xf numFmtId="171" fontId="23" fillId="0" borderId="0" xfId="0" applyNumberFormat="1" applyFont="1" applyAlignment="1">
      <alignment horizontal="left" wrapText="1"/>
    </xf>
    <xf numFmtId="0" fontId="26" fillId="0" borderId="2" xfId="10" applyFont="1" applyAlignment="1">
      <alignment horizontal="center" wrapText="1"/>
    </xf>
    <xf numFmtId="0" fontId="18" fillId="0" borderId="0" xfId="5" applyFont="1" applyAlignment="1">
      <alignment horizontal="center"/>
    </xf>
    <xf numFmtId="44" fontId="15" fillId="0" borderId="2" xfId="5" applyNumberFormat="1" applyBorder="1"/>
    <xf numFmtId="14" fontId="21" fillId="0" borderId="0" xfId="5" applyNumberFormat="1" applyFont="1" applyAlignment="1">
      <alignment horizontal="left" wrapText="1"/>
    </xf>
    <xf numFmtId="168" fontId="21" fillId="0" borderId="0" xfId="5" applyNumberFormat="1" applyFont="1" applyAlignment="1">
      <alignment horizontal="right" wrapText="1"/>
    </xf>
    <xf numFmtId="172" fontId="19" fillId="0" borderId="6" xfId="0" applyNumberFormat="1" applyFont="1" applyBorder="1"/>
    <xf numFmtId="168" fontId="22" fillId="0" borderId="0" xfId="5" applyNumberFormat="1" applyFont="1" applyAlignment="1">
      <alignment horizontal="center" vertical="center" wrapText="1"/>
    </xf>
    <xf numFmtId="0" fontId="4" fillId="0" borderId="0" xfId="11"/>
    <xf numFmtId="14" fontId="4" fillId="0" borderId="0" xfId="11" applyNumberFormat="1"/>
    <xf numFmtId="0" fontId="29" fillId="0" borderId="0" xfId="11" applyFont="1" applyAlignment="1">
      <alignment horizontal="center"/>
    </xf>
    <xf numFmtId="0" fontId="29" fillId="0" borderId="0" xfId="11" applyFont="1"/>
    <xf numFmtId="0" fontId="4" fillId="0" borderId="2" xfId="11" applyBorder="1"/>
    <xf numFmtId="173" fontId="4" fillId="0" borderId="0" xfId="11" applyNumberFormat="1"/>
    <xf numFmtId="0" fontId="30" fillId="0" borderId="0" xfId="11" applyFont="1"/>
    <xf numFmtId="0" fontId="30" fillId="0" borderId="1" xfId="11" applyFont="1" applyBorder="1" applyAlignment="1">
      <alignment horizontal="center" vertical="center" wrapText="1"/>
    </xf>
    <xf numFmtId="0" fontId="30" fillId="0" borderId="11" xfId="11" applyFont="1" applyBorder="1" applyAlignment="1">
      <alignment vertical="center" wrapText="1"/>
    </xf>
    <xf numFmtId="0" fontId="31" fillId="0" borderId="12" xfId="11" applyFont="1" applyBorder="1" applyAlignment="1">
      <alignment horizontal="center" vertical="center" wrapText="1"/>
    </xf>
    <xf numFmtId="0" fontId="31" fillId="0" borderId="9" xfId="11" applyFont="1" applyBorder="1" applyAlignment="1">
      <alignment horizontal="right" vertical="center" wrapText="1"/>
    </xf>
    <xf numFmtId="0" fontId="30" fillId="0" borderId="0" xfId="11" applyFont="1" applyAlignment="1">
      <alignment horizontal="center" vertical="center" wrapText="1"/>
    </xf>
    <xf numFmtId="0" fontId="29" fillId="0" borderId="0" xfId="11" applyFont="1" applyAlignment="1">
      <alignment horizontal="left"/>
    </xf>
    <xf numFmtId="164" fontId="0" fillId="0" borderId="0" xfId="12" applyNumberFormat="1" applyFont="1"/>
    <xf numFmtId="164" fontId="4" fillId="0" borderId="0" xfId="11" applyNumberFormat="1"/>
    <xf numFmtId="43" fontId="4" fillId="0" borderId="0" xfId="11" applyNumberFormat="1"/>
    <xf numFmtId="43" fontId="4" fillId="0" borderId="2" xfId="11" applyNumberFormat="1" applyBorder="1"/>
    <xf numFmtId="0" fontId="13" fillId="0" borderId="0" xfId="5" applyFont="1" applyAlignment="1">
      <alignment horizontal="right"/>
    </xf>
    <xf numFmtId="44" fontId="32" fillId="0" borderId="0" xfId="2" applyFont="1" applyAlignment="1">
      <alignment horizontal="right" wrapText="1"/>
    </xf>
    <xf numFmtId="0" fontId="20" fillId="0" borderId="0" xfId="5" applyFont="1"/>
    <xf numFmtId="168" fontId="13" fillId="0" borderId="0" xfId="5" applyNumberFormat="1" applyFont="1"/>
    <xf numFmtId="0" fontId="15" fillId="0" borderId="0" xfId="5" applyAlignment="1">
      <alignment horizontal="center"/>
    </xf>
    <xf numFmtId="0" fontId="15" fillId="0" borderId="0" xfId="5" applyAlignment="1">
      <alignment horizontal="left"/>
    </xf>
    <xf numFmtId="174" fontId="15" fillId="0" borderId="0" xfId="5" applyNumberFormat="1"/>
    <xf numFmtId="0" fontId="14" fillId="0" borderId="0" xfId="0" applyFont="1" applyAlignment="1">
      <alignment horizontal="center"/>
    </xf>
    <xf numFmtId="0" fontId="3" fillId="0" borderId="0" xfId="13"/>
    <xf numFmtId="1" fontId="3" fillId="0" borderId="0" xfId="13" applyNumberFormat="1" applyAlignment="1">
      <alignment horizontal="right"/>
    </xf>
    <xf numFmtId="1" fontId="3" fillId="0" borderId="0" xfId="13" applyNumberFormat="1"/>
    <xf numFmtId="0" fontId="0" fillId="0" borderId="0" xfId="0" applyAlignment="1">
      <alignment horizontal="left"/>
    </xf>
    <xf numFmtId="9" fontId="0" fillId="0" borderId="0" xfId="14" applyFont="1"/>
    <xf numFmtId="173" fontId="0" fillId="0" borderId="0" xfId="0" applyNumberFormat="1"/>
    <xf numFmtId="0" fontId="2" fillId="0" borderId="0" xfId="13" applyFont="1"/>
    <xf numFmtId="0" fontId="0" fillId="0" borderId="0" xfId="0" pivotButton="1"/>
    <xf numFmtId="173" fontId="0" fillId="3" borderId="0" xfId="0" applyNumberFormat="1" applyFill="1"/>
    <xf numFmtId="173" fontId="0" fillId="0" borderId="2" xfId="0" applyNumberFormat="1" applyBorder="1"/>
    <xf numFmtId="1" fontId="0" fillId="0" borderId="2" xfId="0" applyNumberFormat="1" applyBorder="1"/>
    <xf numFmtId="0" fontId="14" fillId="0" borderId="0" xfId="0" applyFont="1" applyAlignment="1">
      <alignment horizontal="right"/>
    </xf>
    <xf numFmtId="164" fontId="0" fillId="0" borderId="0" xfId="1" applyNumberFormat="1" applyFont="1"/>
    <xf numFmtId="164" fontId="0" fillId="0" borderId="2" xfId="1" applyNumberFormat="1" applyFont="1" applyBorder="1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" fontId="14" fillId="0" borderId="0" xfId="0" applyNumberFormat="1" applyFont="1"/>
    <xf numFmtId="164" fontId="14" fillId="0" borderId="0" xfId="0" applyNumberFormat="1" applyFont="1"/>
    <xf numFmtId="164" fontId="14" fillId="0" borderId="0" xfId="1" applyNumberFormat="1" applyFont="1"/>
    <xf numFmtId="164" fontId="0" fillId="0" borderId="2" xfId="0" applyNumberFormat="1" applyBorder="1"/>
    <xf numFmtId="0" fontId="14" fillId="0" borderId="0" xfId="0" applyFont="1" applyAlignment="1">
      <alignment horizontal="right" indent="1"/>
    </xf>
    <xf numFmtId="9" fontId="19" fillId="0" borderId="0" xfId="14" applyFont="1"/>
    <xf numFmtId="164" fontId="14" fillId="0" borderId="0" xfId="1" applyNumberFormat="1" applyFont="1" applyAlignment="1">
      <alignment horizontal="right"/>
    </xf>
    <xf numFmtId="164" fontId="14" fillId="0" borderId="0" xfId="1" applyNumberFormat="1" applyFont="1" applyBorder="1" applyAlignment="1">
      <alignment horizontal="left" indent="5"/>
    </xf>
    <xf numFmtId="173" fontId="0" fillId="0" borderId="0" xfId="0" applyNumberFormat="1" applyAlignment="1">
      <alignment horizontal="right" indent="1"/>
    </xf>
    <xf numFmtId="173" fontId="0" fillId="0" borderId="2" xfId="0" applyNumberFormat="1" applyBorder="1" applyAlignment="1">
      <alignment horizontal="right" indent="1"/>
    </xf>
    <xf numFmtId="173" fontId="14" fillId="0" borderId="0" xfId="0" applyNumberFormat="1" applyFont="1"/>
    <xf numFmtId="164" fontId="0" fillId="0" borderId="0" xfId="0" applyNumberFormat="1" applyAlignment="1">
      <alignment horizontal="right" indent="1"/>
    </xf>
    <xf numFmtId="164" fontId="0" fillId="0" borderId="2" xfId="0" applyNumberFormat="1" applyBorder="1" applyAlignment="1">
      <alignment horizontal="right" indent="1"/>
    </xf>
    <xf numFmtId="0" fontId="0" fillId="0" borderId="0" xfId="0" applyAlignment="1">
      <alignment horizontal="right"/>
    </xf>
    <xf numFmtId="44" fontId="14" fillId="3" borderId="0" xfId="2" applyFont="1" applyFill="1" applyBorder="1"/>
    <xf numFmtId="0" fontId="14" fillId="3" borderId="2" xfId="0" applyFont="1" applyFill="1" applyBorder="1"/>
    <xf numFmtId="44" fontId="14" fillId="3" borderId="2" xfId="2" applyFont="1" applyFill="1" applyBorder="1"/>
    <xf numFmtId="164" fontId="14" fillId="3" borderId="0" xfId="0" applyNumberFormat="1" applyFont="1" applyFill="1"/>
    <xf numFmtId="164" fontId="14" fillId="0" borderId="2" xfId="1" applyNumberFormat="1" applyFont="1" applyBorder="1"/>
    <xf numFmtId="1" fontId="0" fillId="6" borderId="2" xfId="0" applyNumberFormat="1" applyFill="1" applyBorder="1"/>
    <xf numFmtId="0" fontId="14" fillId="7" borderId="0" xfId="0" applyFont="1" applyFill="1" applyAlignment="1">
      <alignment horizontal="center"/>
    </xf>
    <xf numFmtId="44" fontId="0" fillId="0" borderId="7" xfId="0" applyNumberFormat="1" applyBorder="1"/>
    <xf numFmtId="0" fontId="14" fillId="0" borderId="5" xfId="0" applyFont="1" applyBorder="1" applyAlignment="1">
      <alignment horizontal="left" indent="1"/>
    </xf>
    <xf numFmtId="0" fontId="14" fillId="0" borderId="15" xfId="0" applyFont="1" applyBorder="1" applyAlignment="1">
      <alignment horizontal="left" indent="1"/>
    </xf>
    <xf numFmtId="0" fontId="36" fillId="0" borderId="5" xfId="0" applyFont="1" applyBorder="1"/>
    <xf numFmtId="44" fontId="36" fillId="0" borderId="6" xfId="0" applyNumberFormat="1" applyFont="1" applyBorder="1"/>
    <xf numFmtId="0" fontId="36" fillId="0" borderId="5" xfId="0" applyFont="1" applyBorder="1" applyAlignment="1">
      <alignment horizontal="left" indent="1"/>
    </xf>
    <xf numFmtId="44" fontId="37" fillId="0" borderId="6" xfId="0" applyNumberFormat="1" applyFont="1" applyBorder="1"/>
    <xf numFmtId="164" fontId="14" fillId="0" borderId="0" xfId="1" applyNumberFormat="1" applyFont="1" applyBorder="1"/>
    <xf numFmtId="44" fontId="37" fillId="0" borderId="0" xfId="0" applyNumberFormat="1" applyFont="1"/>
    <xf numFmtId="44" fontId="36" fillId="0" borderId="0" xfId="0" applyNumberFormat="1" applyFont="1"/>
    <xf numFmtId="9" fontId="0" fillId="0" borderId="0" xfId="15" applyFont="1" applyAlignment="1">
      <alignment horizontal="right" indent="1"/>
    </xf>
    <xf numFmtId="9" fontId="14" fillId="0" borderId="0" xfId="15" applyFont="1" applyAlignment="1">
      <alignment horizontal="right"/>
    </xf>
    <xf numFmtId="9" fontId="0" fillId="0" borderId="2" xfId="15" applyFont="1" applyBorder="1" applyAlignment="1">
      <alignment horizontal="right" indent="1"/>
    </xf>
    <xf numFmtId="0" fontId="14" fillId="0" borderId="2" xfId="0" applyFont="1" applyBorder="1" applyAlignment="1">
      <alignment horizontal="center"/>
    </xf>
    <xf numFmtId="4" fontId="38" fillId="0" borderId="0" xfId="0" applyNumberFormat="1" applyFont="1"/>
    <xf numFmtId="0" fontId="39" fillId="0" borderId="0" xfId="0" applyFont="1"/>
    <xf numFmtId="0" fontId="40" fillId="0" borderId="0" xfId="0" applyFont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40" fillId="0" borderId="0" xfId="0" applyFont="1" applyAlignment="1">
      <alignment horizontal="right" vertical="center" indent="1"/>
    </xf>
    <xf numFmtId="0" fontId="41" fillId="0" borderId="0" xfId="0" applyFont="1" applyAlignment="1">
      <alignment horizontal="right" vertical="center" indent="1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vertical="center"/>
    </xf>
    <xf numFmtId="0" fontId="41" fillId="0" borderId="16" xfId="0" applyFont="1" applyBorder="1" applyAlignment="1">
      <alignment horizontal="right" vertical="center" indent="1"/>
    </xf>
    <xf numFmtId="0" fontId="41" fillId="9" borderId="16" xfId="0" applyFont="1" applyFill="1" applyBorder="1" applyAlignment="1">
      <alignment horizontal="right" vertical="center"/>
    </xf>
    <xf numFmtId="0" fontId="41" fillId="0" borderId="16" xfId="0" applyFont="1" applyBorder="1" applyAlignment="1">
      <alignment vertical="center"/>
    </xf>
    <xf numFmtId="0" fontId="40" fillId="0" borderId="0" xfId="0" applyFont="1" applyAlignment="1">
      <alignment horizontal="right" vertical="center"/>
    </xf>
    <xf numFmtId="0" fontId="40" fillId="3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3" fontId="41" fillId="0" borderId="0" xfId="0" applyNumberFormat="1" applyFont="1" applyAlignment="1">
      <alignment horizontal="right" vertical="center" indent="1"/>
    </xf>
    <xf numFmtId="3" fontId="40" fillId="0" borderId="0" xfId="0" applyNumberFormat="1" applyFont="1" applyAlignment="1">
      <alignment horizontal="right" vertical="center"/>
    </xf>
    <xf numFmtId="0" fontId="42" fillId="0" borderId="0" xfId="0" applyFont="1"/>
    <xf numFmtId="0" fontId="43" fillId="0" borderId="0" xfId="16"/>
    <xf numFmtId="0" fontId="44" fillId="0" borderId="0" xfId="16" applyFont="1"/>
    <xf numFmtId="0" fontId="45" fillId="0" borderId="17" xfId="16" applyFont="1" applyBorder="1"/>
    <xf numFmtId="0" fontId="45" fillId="0" borderId="18" xfId="16" applyFont="1" applyBorder="1"/>
    <xf numFmtId="0" fontId="45" fillId="0" borderId="18" xfId="16" applyFont="1" applyBorder="1" applyAlignment="1">
      <alignment horizontal="center"/>
    </xf>
    <xf numFmtId="0" fontId="46" fillId="0" borderId="19" xfId="16" applyFont="1" applyBorder="1" applyAlignment="1">
      <alignment horizontal="center"/>
    </xf>
    <xf numFmtId="0" fontId="45" fillId="0" borderId="19" xfId="16" applyFont="1" applyBorder="1" applyAlignment="1">
      <alignment horizontal="center"/>
    </xf>
    <xf numFmtId="0" fontId="45" fillId="0" borderId="20" xfId="16" applyFont="1" applyBorder="1" applyAlignment="1">
      <alignment horizontal="center"/>
    </xf>
    <xf numFmtId="0" fontId="45" fillId="0" borderId="21" xfId="16" applyFont="1" applyBorder="1"/>
    <xf numFmtId="0" fontId="44" fillId="0" borderId="22" xfId="16" applyFont="1" applyBorder="1"/>
    <xf numFmtId="2" fontId="44" fillId="0" borderId="22" xfId="16" applyNumberFormat="1" applyFont="1" applyBorder="1"/>
    <xf numFmtId="175" fontId="44" fillId="0" borderId="22" xfId="16" applyNumberFormat="1" applyFont="1" applyBorder="1"/>
    <xf numFmtId="176" fontId="44" fillId="0" borderId="22" xfId="16" applyNumberFormat="1" applyFont="1" applyBorder="1"/>
    <xf numFmtId="0" fontId="45" fillId="0" borderId="23" xfId="16" applyFont="1" applyBorder="1"/>
    <xf numFmtId="0" fontId="44" fillId="0" borderId="23" xfId="16" applyFont="1" applyBorder="1"/>
    <xf numFmtId="2" fontId="44" fillId="0" borderId="23" xfId="16" applyNumberFormat="1" applyFont="1" applyBorder="1"/>
    <xf numFmtId="175" fontId="44" fillId="0" borderId="23" xfId="16" applyNumberFormat="1" applyFont="1" applyBorder="1"/>
    <xf numFmtId="176" fontId="44" fillId="0" borderId="23" xfId="16" applyNumberFormat="1" applyFont="1" applyBorder="1"/>
    <xf numFmtId="0" fontId="47" fillId="0" borderId="23" xfId="16" applyFont="1" applyBorder="1"/>
    <xf numFmtId="0" fontId="44" fillId="0" borderId="23" xfId="16" applyFont="1" applyBorder="1" applyAlignment="1">
      <alignment horizontal="center"/>
    </xf>
    <xf numFmtId="0" fontId="47" fillId="0" borderId="23" xfId="16" applyFont="1" applyBorder="1" applyAlignment="1">
      <alignment horizontal="center"/>
    </xf>
    <xf numFmtId="175" fontId="48" fillId="0" borderId="23" xfId="16" applyNumberFormat="1" applyFont="1" applyBorder="1" applyAlignment="1">
      <alignment horizontal="center"/>
    </xf>
    <xf numFmtId="176" fontId="47" fillId="0" borderId="23" xfId="16" applyNumberFormat="1" applyFont="1" applyBorder="1" applyAlignment="1">
      <alignment horizontal="center"/>
    </xf>
    <xf numFmtId="0" fontId="46" fillId="0" borderId="23" xfId="16" applyFont="1" applyBorder="1" applyAlignment="1">
      <alignment horizontal="center"/>
    </xf>
    <xf numFmtId="0" fontId="48" fillId="0" borderId="23" xfId="16" applyFont="1" applyBorder="1" applyAlignment="1">
      <alignment horizontal="center"/>
    </xf>
    <xf numFmtId="176" fontId="48" fillId="0" borderId="23" xfId="16" applyNumberFormat="1" applyFont="1" applyBorder="1" applyAlignment="1">
      <alignment horizontal="center"/>
    </xf>
    <xf numFmtId="176" fontId="48" fillId="0" borderId="23" xfId="16" applyNumberFormat="1" applyFont="1" applyBorder="1" applyAlignment="1">
      <alignment horizontal="center" vertical="center"/>
    </xf>
    <xf numFmtId="176" fontId="44" fillId="0" borderId="23" xfId="16" applyNumberFormat="1" applyFont="1" applyBorder="1" applyAlignment="1">
      <alignment horizontal="center" vertical="center"/>
    </xf>
    <xf numFmtId="176" fontId="47" fillId="0" borderId="23" xfId="16" applyNumberFormat="1" applyFont="1" applyBorder="1" applyAlignment="1">
      <alignment horizontal="center" vertical="center"/>
    </xf>
    <xf numFmtId="0" fontId="25" fillId="0" borderId="23" xfId="16" applyFont="1" applyBorder="1" applyAlignment="1">
      <alignment horizontal="center"/>
    </xf>
    <xf numFmtId="0" fontId="47" fillId="0" borderId="24" xfId="16" applyFont="1" applyBorder="1"/>
    <xf numFmtId="0" fontId="44" fillId="0" borderId="24" xfId="16" applyFont="1" applyBorder="1" applyAlignment="1">
      <alignment horizontal="center"/>
    </xf>
    <xf numFmtId="2" fontId="44" fillId="0" borderId="24" xfId="16" applyNumberFormat="1" applyFont="1" applyBorder="1"/>
    <xf numFmtId="0" fontId="47" fillId="0" borderId="24" xfId="16" applyFont="1" applyBorder="1" applyAlignment="1">
      <alignment horizontal="center"/>
    </xf>
    <xf numFmtId="175" fontId="48" fillId="0" borderId="24" xfId="16" applyNumberFormat="1" applyFont="1" applyBorder="1" applyAlignment="1">
      <alignment horizontal="center"/>
    </xf>
    <xf numFmtId="176" fontId="47" fillId="0" borderId="24" xfId="16" applyNumberFormat="1" applyFont="1" applyBorder="1" applyAlignment="1">
      <alignment horizontal="center" vertical="center"/>
    </xf>
    <xf numFmtId="0" fontId="47" fillId="0" borderId="26" xfId="16" applyFont="1" applyBorder="1" applyAlignment="1">
      <alignment horizontal="center"/>
    </xf>
    <xf numFmtId="0" fontId="44" fillId="0" borderId="26" xfId="16" applyFont="1" applyBorder="1"/>
    <xf numFmtId="0" fontId="44" fillId="0" borderId="24" xfId="16" applyFont="1" applyBorder="1"/>
    <xf numFmtId="0" fontId="47" fillId="0" borderId="27" xfId="16" applyFont="1" applyBorder="1" applyAlignment="1">
      <alignment horizontal="center"/>
    </xf>
    <xf numFmtId="0" fontId="44" fillId="0" borderId="27" xfId="16" applyFont="1" applyBorder="1"/>
    <xf numFmtId="0" fontId="47" fillId="0" borderId="27" xfId="16" applyFont="1" applyBorder="1"/>
    <xf numFmtId="0" fontId="46" fillId="0" borderId="27" xfId="16" applyFont="1" applyBorder="1" applyAlignment="1">
      <alignment horizontal="center"/>
    </xf>
    <xf numFmtId="0" fontId="45" fillId="0" borderId="27" xfId="16" applyFont="1" applyBorder="1"/>
    <xf numFmtId="0" fontId="47" fillId="0" borderId="25" xfId="16" applyFont="1" applyBorder="1" applyAlignment="1">
      <alignment horizontal="center"/>
    </xf>
    <xf numFmtId="0" fontId="44" fillId="0" borderId="25" xfId="16" applyFont="1" applyBorder="1"/>
    <xf numFmtId="0" fontId="47" fillId="0" borderId="25" xfId="16" applyFont="1" applyBorder="1"/>
    <xf numFmtId="0" fontId="45" fillId="0" borderId="29" xfId="16" applyFont="1" applyBorder="1" applyAlignment="1">
      <alignment horizontal="center"/>
    </xf>
    <xf numFmtId="0" fontId="46" fillId="0" borderId="29" xfId="16" applyFont="1" applyBorder="1" applyAlignment="1">
      <alignment horizontal="center"/>
    </xf>
    <xf numFmtId="0" fontId="45" fillId="0" borderId="30" xfId="16" applyFont="1" applyBorder="1"/>
    <xf numFmtId="176" fontId="49" fillId="0" borderId="32" xfId="16" applyNumberFormat="1" applyFont="1" applyBorder="1" applyAlignment="1">
      <alignment horizontal="center"/>
    </xf>
    <xf numFmtId="0" fontId="28" fillId="0" borderId="33" xfId="16" applyFont="1" applyBorder="1" applyAlignment="1">
      <alignment horizontal="center"/>
    </xf>
    <xf numFmtId="0" fontId="28" fillId="0" borderId="23" xfId="16" applyFont="1" applyBorder="1" applyAlignment="1">
      <alignment horizontal="center"/>
    </xf>
    <xf numFmtId="0" fontId="49" fillId="0" borderId="23" xfId="16" applyFont="1" applyBorder="1" applyAlignment="1">
      <alignment horizontal="center"/>
    </xf>
    <xf numFmtId="0" fontId="49" fillId="0" borderId="34" xfId="16" applyFont="1" applyBorder="1" applyAlignment="1">
      <alignment horizontal="center"/>
    </xf>
    <xf numFmtId="0" fontId="28" fillId="0" borderId="35" xfId="16" applyFont="1" applyBorder="1" applyAlignment="1">
      <alignment horizontal="center"/>
    </xf>
    <xf numFmtId="177" fontId="23" fillId="0" borderId="0" xfId="0" applyNumberFormat="1" applyFont="1" applyAlignment="1">
      <alignment wrapText="1"/>
    </xf>
    <xf numFmtId="0" fontId="1" fillId="0" borderId="0" xfId="17"/>
    <xf numFmtId="179" fontId="0" fillId="0" borderId="28" xfId="18" applyNumberFormat="1" applyFont="1" applyBorder="1"/>
    <xf numFmtId="0" fontId="29" fillId="0" borderId="29" xfId="17" applyFont="1" applyBorder="1"/>
    <xf numFmtId="0" fontId="1" fillId="0" borderId="30" xfId="17" applyBorder="1"/>
    <xf numFmtId="0" fontId="45" fillId="11" borderId="36" xfId="17" applyFont="1" applyFill="1" applyBorder="1" applyAlignment="1">
      <alignment horizontal="center" wrapText="1"/>
    </xf>
    <xf numFmtId="0" fontId="29" fillId="0" borderId="37" xfId="17" applyFont="1" applyBorder="1"/>
    <xf numFmtId="0" fontId="1" fillId="0" borderId="38" xfId="17" applyBorder="1"/>
    <xf numFmtId="0" fontId="1" fillId="0" borderId="39" xfId="17" applyBorder="1"/>
    <xf numFmtId="0" fontId="1" fillId="0" borderId="27" xfId="17" applyBorder="1"/>
    <xf numFmtId="0" fontId="1" fillId="0" borderId="40" xfId="17" applyBorder="1"/>
    <xf numFmtId="0" fontId="1" fillId="0" borderId="41" xfId="17" applyBorder="1"/>
    <xf numFmtId="0" fontId="1" fillId="0" borderId="42" xfId="17" applyBorder="1"/>
    <xf numFmtId="0" fontId="1" fillId="0" borderId="43" xfId="17" applyBorder="1"/>
    <xf numFmtId="0" fontId="45" fillId="11" borderId="44" xfId="17" applyFont="1" applyFill="1" applyBorder="1" applyAlignment="1">
      <alignment horizontal="center" wrapText="1"/>
    </xf>
    <xf numFmtId="0" fontId="29" fillId="0" borderId="45" xfId="17" applyFont="1" applyBorder="1"/>
    <xf numFmtId="0" fontId="1" fillId="0" borderId="46" xfId="17" applyBorder="1"/>
    <xf numFmtId="0" fontId="1" fillId="0" borderId="47" xfId="17" applyBorder="1"/>
    <xf numFmtId="0" fontId="1" fillId="0" borderId="25" xfId="17" applyBorder="1"/>
    <xf numFmtId="0" fontId="1" fillId="0" borderId="48" xfId="17" applyBorder="1"/>
    <xf numFmtId="0" fontId="47" fillId="0" borderId="39" xfId="17" applyFont="1" applyBorder="1" applyAlignment="1">
      <alignment wrapText="1"/>
    </xf>
    <xf numFmtId="0" fontId="47" fillId="0" borderId="41" xfId="17" applyFont="1" applyBorder="1" applyAlignment="1">
      <alignment wrapText="1"/>
    </xf>
    <xf numFmtId="180" fontId="29" fillId="3" borderId="27" xfId="17" applyNumberFormat="1" applyFont="1" applyFill="1" applyBorder="1"/>
    <xf numFmtId="0" fontId="1" fillId="0" borderId="39" xfId="17" applyBorder="1" applyAlignment="1">
      <alignment horizontal="center"/>
    </xf>
    <xf numFmtId="180" fontId="13" fillId="0" borderId="27" xfId="19" applyFont="1" applyBorder="1"/>
    <xf numFmtId="180" fontId="1" fillId="0" borderId="27" xfId="17" applyNumberFormat="1" applyBorder="1"/>
    <xf numFmtId="0" fontId="1" fillId="3" borderId="0" xfId="17" applyFill="1" applyAlignment="1">
      <alignment horizontal="center"/>
    </xf>
    <xf numFmtId="0" fontId="45" fillId="3" borderId="36" xfId="17" applyFont="1" applyFill="1" applyBorder="1" applyAlignment="1">
      <alignment horizontal="center" wrapText="1"/>
    </xf>
    <xf numFmtId="180" fontId="0" fillId="0" borderId="27" xfId="19" applyFont="1" applyBorder="1"/>
    <xf numFmtId="0" fontId="1" fillId="0" borderId="0" xfId="17" applyAlignment="1">
      <alignment horizontal="center"/>
    </xf>
    <xf numFmtId="181" fontId="1" fillId="0" borderId="27" xfId="17" applyNumberFormat="1" applyBorder="1"/>
    <xf numFmtId="179" fontId="0" fillId="0" borderId="27" xfId="18" applyNumberFormat="1" applyFont="1" applyBorder="1"/>
    <xf numFmtId="0" fontId="1" fillId="3" borderId="27" xfId="17" applyFill="1" applyBorder="1" applyAlignment="1">
      <alignment horizontal="center"/>
    </xf>
    <xf numFmtId="0" fontId="1" fillId="11" borderId="27" xfId="17" applyFill="1" applyBorder="1" applyAlignment="1">
      <alignment horizontal="center"/>
    </xf>
    <xf numFmtId="181" fontId="1" fillId="0" borderId="27" xfId="17" applyNumberFormat="1" applyBorder="1" applyAlignment="1">
      <alignment horizontal="center"/>
    </xf>
    <xf numFmtId="0" fontId="1" fillId="0" borderId="11" xfId="17" applyBorder="1"/>
    <xf numFmtId="0" fontId="1" fillId="0" borderId="49" xfId="17" applyBorder="1"/>
    <xf numFmtId="0" fontId="1" fillId="0" borderId="50" xfId="17" applyBorder="1"/>
    <xf numFmtId="0" fontId="10" fillId="0" borderId="0" xfId="0" applyFont="1"/>
    <xf numFmtId="0" fontId="0" fillId="0" borderId="2" xfId="0" applyBorder="1" applyAlignment="1">
      <alignment wrapText="1"/>
    </xf>
    <xf numFmtId="179" fontId="1" fillId="0" borderId="0" xfId="17" applyNumberFormat="1"/>
    <xf numFmtId="4" fontId="24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164" fontId="0" fillId="0" borderId="6" xfId="1" applyNumberFormat="1" applyFont="1" applyBorder="1"/>
    <xf numFmtId="44" fontId="0" fillId="0" borderId="0" xfId="2" applyFont="1" applyAlignment="1">
      <alignment wrapText="1"/>
    </xf>
    <xf numFmtId="0" fontId="14" fillId="0" borderId="0" xfId="0" applyFont="1" applyAlignment="1">
      <alignment wrapText="1"/>
    </xf>
    <xf numFmtId="0" fontId="50" fillId="0" borderId="0" xfId="20" applyAlignment="1">
      <alignment horizontal="left" vertical="top"/>
    </xf>
    <xf numFmtId="0" fontId="50" fillId="0" borderId="0" xfId="20" applyAlignment="1">
      <alignment horizontal="left" vertical="top" wrapText="1"/>
    </xf>
    <xf numFmtId="0" fontId="50" fillId="0" borderId="0" xfId="20" applyAlignment="1">
      <alignment horizontal="left" vertical="center" wrapText="1"/>
    </xf>
    <xf numFmtId="0" fontId="59" fillId="0" borderId="51" xfId="20" applyFont="1" applyBorder="1" applyAlignment="1">
      <alignment horizontal="left" vertical="top" wrapText="1" indent="3"/>
    </xf>
    <xf numFmtId="0" fontId="61" fillId="0" borderId="51" xfId="20" applyFont="1" applyBorder="1" applyAlignment="1">
      <alignment horizontal="center" vertical="top" wrapText="1"/>
    </xf>
    <xf numFmtId="182" fontId="60" fillId="0" borderId="51" xfId="20" applyNumberFormat="1" applyFont="1" applyBorder="1" applyAlignment="1">
      <alignment horizontal="center" vertical="top" shrinkToFit="1"/>
    </xf>
    <xf numFmtId="1" fontId="60" fillId="0" borderId="51" xfId="20" applyNumberFormat="1" applyFont="1" applyBorder="1" applyAlignment="1">
      <alignment horizontal="center" vertical="top" shrinkToFit="1"/>
    </xf>
    <xf numFmtId="0" fontId="59" fillId="0" borderId="51" xfId="20" applyFont="1" applyBorder="1" applyAlignment="1">
      <alignment horizontal="center" vertical="top" wrapText="1"/>
    </xf>
    <xf numFmtId="3" fontId="60" fillId="0" borderId="51" xfId="20" applyNumberFormat="1" applyFont="1" applyBorder="1" applyAlignment="1">
      <alignment horizontal="center" vertical="top" shrinkToFit="1"/>
    </xf>
    <xf numFmtId="0" fontId="61" fillId="13" borderId="51" xfId="20" applyFont="1" applyFill="1" applyBorder="1" applyAlignment="1">
      <alignment horizontal="left" vertical="top" wrapText="1" indent="2"/>
    </xf>
    <xf numFmtId="0" fontId="61" fillId="13" borderId="51" xfId="20" applyFont="1" applyFill="1" applyBorder="1" applyAlignment="1">
      <alignment horizontal="center" vertical="top" wrapText="1"/>
    </xf>
    <xf numFmtId="0" fontId="50" fillId="0" borderId="0" xfId="20" applyAlignment="1">
      <alignment horizontal="left" wrapText="1"/>
    </xf>
    <xf numFmtId="0" fontId="59" fillId="0" borderId="51" xfId="20" applyFont="1" applyBorder="1" applyAlignment="1">
      <alignment horizontal="left" vertical="top" wrapText="1" indent="1"/>
    </xf>
    <xf numFmtId="0" fontId="61" fillId="0" borderId="51" xfId="20" applyFont="1" applyBorder="1" applyAlignment="1">
      <alignment horizontal="left" vertical="top" wrapText="1" indent="4"/>
    </xf>
    <xf numFmtId="182" fontId="50" fillId="0" borderId="0" xfId="20" applyNumberFormat="1" applyAlignment="1">
      <alignment horizontal="left" vertical="center" wrapText="1"/>
    </xf>
    <xf numFmtId="44" fontId="50" fillId="0" borderId="0" xfId="20" applyNumberFormat="1" applyAlignment="1">
      <alignment horizontal="left" vertical="top"/>
    </xf>
    <xf numFmtId="43" fontId="50" fillId="0" borderId="0" xfId="1" applyFont="1" applyAlignment="1">
      <alignment horizontal="left" vertical="top"/>
    </xf>
    <xf numFmtId="164" fontId="50" fillId="0" borderId="0" xfId="1" applyNumberFormat="1" applyFont="1" applyAlignment="1">
      <alignment horizontal="left" vertical="top"/>
    </xf>
    <xf numFmtId="0" fontId="64" fillId="0" borderId="0" xfId="20" applyFont="1" applyAlignment="1">
      <alignment horizontal="left" vertical="top"/>
    </xf>
    <xf numFmtId="44" fontId="64" fillId="3" borderId="0" xfId="2" applyFont="1" applyFill="1" applyAlignment="1">
      <alignment horizontal="left" vertical="top"/>
    </xf>
    <xf numFmtId="0" fontId="64" fillId="0" borderId="0" xfId="20" applyFont="1" applyAlignment="1">
      <alignment horizontal="center" vertical="center" wrapText="1"/>
    </xf>
    <xf numFmtId="0" fontId="64" fillId="0" borderId="0" xfId="20" applyFont="1" applyAlignment="1">
      <alignment horizontal="center" vertical="center"/>
    </xf>
    <xf numFmtId="0" fontId="64" fillId="3" borderId="0" xfId="20" applyFont="1" applyFill="1" applyAlignment="1">
      <alignment horizontal="center" vertical="center"/>
    </xf>
    <xf numFmtId="44" fontId="64" fillId="3" borderId="0" xfId="20" applyNumberFormat="1" applyFont="1" applyFill="1" applyAlignment="1">
      <alignment horizontal="left" vertical="top"/>
    </xf>
    <xf numFmtId="44" fontId="64" fillId="3" borderId="2" xfId="2" applyFont="1" applyFill="1" applyBorder="1" applyAlignment="1">
      <alignment horizontal="left" vertical="top"/>
    </xf>
    <xf numFmtId="44" fontId="64" fillId="0" borderId="0" xfId="20" applyNumberFormat="1" applyFont="1" applyAlignment="1">
      <alignment horizontal="left" vertical="top"/>
    </xf>
    <xf numFmtId="9" fontId="1" fillId="0" borderId="0" xfId="15" applyFont="1"/>
    <xf numFmtId="0" fontId="29" fillId="0" borderId="0" xfId="17" applyFont="1"/>
    <xf numFmtId="164" fontId="1" fillId="0" borderId="0" xfId="1" applyNumberFormat="1" applyFont="1"/>
    <xf numFmtId="44" fontId="0" fillId="0" borderId="2" xfId="2" applyFont="1" applyBorder="1" applyAlignment="1">
      <alignment wrapText="1"/>
    </xf>
    <xf numFmtId="44" fontId="0" fillId="0" borderId="15" xfId="2" applyFont="1" applyBorder="1" applyAlignment="1">
      <alignment wrapText="1"/>
    </xf>
    <xf numFmtId="0" fontId="50" fillId="0" borderId="2" xfId="20" applyBorder="1" applyAlignment="1">
      <alignment horizontal="left" vertical="top"/>
    </xf>
    <xf numFmtId="43" fontId="1" fillId="0" borderId="0" xfId="17" applyNumberFormat="1"/>
    <xf numFmtId="4" fontId="0" fillId="0" borderId="0" xfId="0" applyNumberFormat="1" applyAlignment="1">
      <alignment wrapText="1"/>
    </xf>
    <xf numFmtId="4" fontId="0" fillId="0" borderId="0" xfId="0" applyNumberFormat="1"/>
    <xf numFmtId="4" fontId="0" fillId="0" borderId="2" xfId="0" applyNumberFormat="1" applyBorder="1" applyAlignment="1">
      <alignment wrapText="1"/>
    </xf>
    <xf numFmtId="3" fontId="65" fillId="0" borderId="2" xfId="0" applyNumberFormat="1" applyFont="1" applyBorder="1"/>
    <xf numFmtId="0" fontId="42" fillId="0" borderId="0" xfId="0" applyFont="1" applyAlignment="1">
      <alignment horizontal="left" vertical="center" indent="1"/>
    </xf>
    <xf numFmtId="3" fontId="0" fillId="0" borderId="0" xfId="0" applyNumberFormat="1" applyAlignment="1">
      <alignment horizontal="center"/>
    </xf>
    <xf numFmtId="3" fontId="14" fillId="0" borderId="0" xfId="0" quotePrefix="1" applyNumberFormat="1" applyFont="1" applyAlignment="1">
      <alignment horizontal="center"/>
    </xf>
    <xf numFmtId="0" fontId="14" fillId="0" borderId="0" xfId="0" quotePrefix="1" applyFont="1" applyAlignment="1">
      <alignment horizontal="center"/>
    </xf>
    <xf numFmtId="3" fontId="14" fillId="0" borderId="2" xfId="0" quotePrefix="1" applyNumberFormat="1" applyFont="1" applyBorder="1" applyAlignment="1">
      <alignment horizontal="center"/>
    </xf>
    <xf numFmtId="0" fontId="14" fillId="0" borderId="2" xfId="0" quotePrefix="1" applyFont="1" applyBorder="1" applyAlignment="1">
      <alignment horizontal="center"/>
    </xf>
    <xf numFmtId="0" fontId="50" fillId="0" borderId="0" xfId="20" applyAlignment="1">
      <alignment horizontal="left" wrapText="1"/>
    </xf>
    <xf numFmtId="0" fontId="50" fillId="0" borderId="0" xfId="20" applyAlignment="1">
      <alignment horizontal="left" vertical="top" wrapText="1" indent="29"/>
    </xf>
    <xf numFmtId="0" fontId="61" fillId="13" borderId="53" xfId="20" applyFont="1" applyFill="1" applyBorder="1" applyAlignment="1">
      <alignment horizontal="center" vertical="top" wrapText="1"/>
    </xf>
    <xf numFmtId="0" fontId="61" fillId="13" borderId="52" xfId="20" applyFont="1" applyFill="1" applyBorder="1" applyAlignment="1">
      <alignment horizontal="center" vertical="top" wrapText="1"/>
    </xf>
    <xf numFmtId="0" fontId="50" fillId="0" borderId="0" xfId="20" applyAlignment="1">
      <alignment horizontal="left" vertical="center" wrapText="1" indent="5"/>
    </xf>
    <xf numFmtId="0" fontId="51" fillId="0" borderId="0" xfId="20" applyFont="1" applyAlignment="1">
      <alignment horizontal="center" vertical="center" wrapText="1"/>
    </xf>
    <xf numFmtId="0" fontId="50" fillId="12" borderId="0" xfId="20" applyFill="1" applyAlignment="1">
      <alignment horizontal="left" vertical="top" wrapText="1"/>
    </xf>
    <xf numFmtId="0" fontId="50" fillId="0" borderId="0" xfId="20" applyAlignment="1">
      <alignment horizontal="left" vertical="top" wrapText="1" indent="5"/>
    </xf>
    <xf numFmtId="0" fontId="50" fillId="0" borderId="0" xfId="20" applyAlignment="1">
      <alignment horizontal="left" vertical="top" wrapText="1" indent="7"/>
    </xf>
    <xf numFmtId="0" fontId="50" fillId="0" borderId="0" xfId="20" applyAlignment="1">
      <alignment horizontal="left" vertical="center" wrapText="1" indent="4"/>
    </xf>
    <xf numFmtId="0" fontId="0" fillId="0" borderId="0" xfId="0" applyAlignment="1">
      <alignment wrapText="1"/>
    </xf>
    <xf numFmtId="14" fontId="18" fillId="0" borderId="3" xfId="5" applyNumberFormat="1" applyFont="1" applyBorder="1" applyAlignment="1">
      <alignment horizontal="center"/>
    </xf>
    <xf numFmtId="14" fontId="18" fillId="0" borderId="4" xfId="5" applyNumberFormat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45" fillId="0" borderId="25" xfId="16" applyFont="1" applyBorder="1" applyAlignment="1">
      <alignment horizontal="center"/>
    </xf>
    <xf numFmtId="0" fontId="28" fillId="10" borderId="13" xfId="16" applyFont="1" applyFill="1" applyBorder="1" applyAlignment="1">
      <alignment horizontal="center"/>
    </xf>
    <xf numFmtId="0" fontId="28" fillId="10" borderId="31" xfId="16" applyFont="1" applyFill="1" applyBorder="1" applyAlignment="1">
      <alignment horizontal="center"/>
    </xf>
    <xf numFmtId="0" fontId="28" fillId="10" borderId="14" xfId="16" applyFont="1" applyFill="1" applyBorder="1" applyAlignment="1">
      <alignment horizontal="center"/>
    </xf>
    <xf numFmtId="0" fontId="45" fillId="0" borderId="29" xfId="16" applyFont="1" applyBorder="1" applyAlignment="1">
      <alignment horizontal="center"/>
    </xf>
    <xf numFmtId="0" fontId="45" fillId="0" borderId="28" xfId="16" applyFont="1" applyBorder="1" applyAlignment="1">
      <alignment horizontal="center"/>
    </xf>
    <xf numFmtId="0" fontId="14" fillId="0" borderId="0" xfId="0" applyFont="1" applyAlignment="1">
      <alignment horizontal="center"/>
    </xf>
    <xf numFmtId="14" fontId="18" fillId="0" borderId="2" xfId="5" applyNumberFormat="1" applyFont="1" applyBorder="1" applyAlignment="1">
      <alignment horizontal="center"/>
    </xf>
    <xf numFmtId="0" fontId="28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4" fontId="66" fillId="0" borderId="0" xfId="0" applyNumberFormat="1" applyFont="1"/>
    <xf numFmtId="4" fontId="67" fillId="0" borderId="0" xfId="0" applyNumberFormat="1" applyFont="1" applyAlignment="1">
      <alignment horizontal="right" vertical="center" wrapText="1"/>
    </xf>
  </cellXfs>
  <cellStyles count="21">
    <cellStyle name="Comma" xfId="1" builtinId="3"/>
    <cellStyle name="Comma 2" xfId="4" xr:uid="{B3A0F693-536D-455E-977D-2BC62D0A616E}"/>
    <cellStyle name="Comma 3" xfId="7" xr:uid="{A15C49FD-A787-45E6-8453-DD533A78D72E}"/>
    <cellStyle name="Comma 4" xfId="9" xr:uid="{17DA3991-50E7-4C45-ACAB-2C9C10B1A0D1}"/>
    <cellStyle name="Comma 5" xfId="12" xr:uid="{FFC744D3-739A-4A75-939F-B83E864B7451}"/>
    <cellStyle name="Comma 6" xfId="18" xr:uid="{DA538352-AF1E-446E-8D93-9627ECB9025A}"/>
    <cellStyle name="Currency" xfId="2" builtinId="4"/>
    <cellStyle name="Currency 2" xfId="6" xr:uid="{26CFC739-79F2-4754-9676-BA8D14D0BB54}"/>
    <cellStyle name="Currency 3" xfId="8" xr:uid="{F483289C-DA7C-4407-966B-DAC28F55AA9B}"/>
    <cellStyle name="Currency 4" xfId="19" xr:uid="{898CB513-2CA3-429E-815F-5876C85211A1}"/>
    <cellStyle name="HeaderCellStyle" xfId="10" xr:uid="{4F1BC418-938F-450D-8E59-4CEC7C048536}"/>
    <cellStyle name="Hyperlink" xfId="3" builtinId="8"/>
    <cellStyle name="Normal" xfId="0" builtinId="0"/>
    <cellStyle name="Normal 2" xfId="5" xr:uid="{EE71B4B7-A14F-4E67-8F3B-9950964D3B16}"/>
    <cellStyle name="Normal 3" xfId="11" xr:uid="{38D89805-6381-4FAE-8387-1A83C72469A3}"/>
    <cellStyle name="Normal 4" xfId="13" xr:uid="{CE67CFAA-8230-440D-89C2-8A7110B65BE4}"/>
    <cellStyle name="Normal 5" xfId="16" xr:uid="{2DFDA6A4-A145-4F9E-A300-53948B02EA6E}"/>
    <cellStyle name="Normal 6" xfId="17" xr:uid="{10A1919A-9971-4B60-965D-DB48B1597BF8}"/>
    <cellStyle name="Normal 7" xfId="20" xr:uid="{008FF051-9856-4E19-B30C-6DEAD121783B}"/>
    <cellStyle name="Percent" xfId="15" builtinId="5"/>
    <cellStyle name="Percent 2" xfId="14" xr:uid="{5A858BC4-6F3D-400E-85B9-D9233B4C4AEB}"/>
  </cellStyles>
  <dxfs count="13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24pk Sales</a:t>
            </a:r>
            <a:r>
              <a:rPr lang="en-US" b="1" baseline="0"/>
              <a:t> by Flavor</a:t>
            </a:r>
          </a:p>
          <a:p>
            <a:pPr>
              <a:defRPr/>
            </a:pPr>
            <a:r>
              <a:rPr lang="en-US" b="1" baseline="0"/>
              <a:t>10/01/24-03/25/25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31-4BE7-AF7D-6C5F34A57A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31-4BE7-AF7D-6C5F34A57A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31-4BE7-AF7D-6C5F34A57A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31-4BE7-AF7D-6C5F34A57A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31-4BE7-AF7D-6C5F34A57A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'Quantum Run 04042025'!$E$29:$E$33</c:f>
              <c:numCache>
                <c:formatCode>0%</c:formatCode>
                <c:ptCount val="5"/>
                <c:pt idx="0">
                  <c:v>0.19269369731031713</c:v>
                </c:pt>
                <c:pt idx="1">
                  <c:v>0.1553592934564432</c:v>
                </c:pt>
                <c:pt idx="2">
                  <c:v>7.4668807707747892E-2</c:v>
                </c:pt>
                <c:pt idx="3">
                  <c:v>7.4668807707747892E-2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'Quantum Run 04042025'!#REF!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0A4-4984-A4D1-2F66447BB1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24pk Sales</a:t>
            </a:r>
            <a:r>
              <a:rPr lang="en-US" b="1" baseline="0"/>
              <a:t> by Flavor</a:t>
            </a:r>
          </a:p>
          <a:p>
            <a:pPr>
              <a:defRPr/>
            </a:pPr>
            <a:r>
              <a:rPr lang="en-US" b="1" baseline="0"/>
              <a:t>10/01/24-03/25/25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E-43E6-AFC4-8D2D7EDFA2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E-43E6-AFC4-8D2D7EDFA2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E-43E6-AFC4-8D2D7EDFA2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DE-43E6-AFC4-8D2D7EDFA2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DE-43E6-AFC4-8D2D7EDFA270}"/>
              </c:ext>
            </c:extLst>
          </c:dPt>
          <c:dLbls>
            <c:dLbl>
              <c:idx val="4"/>
              <c:tx>
                <c:rich>
                  <a:bodyPr/>
                  <a:lstStyle/>
                  <a:p>
                    <a:fld id="{F9C657A2-184A-4B14-AF94-1070157D508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</a:t>
                    </a:r>
                    <a:fld id="{75223D22-CEB1-4D11-B668-4AE7B5F03246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9DE-43E6-AFC4-8D2D7EDFA2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'DELETE Quantum Run 03-25-2025 '!$F$29:$F$34</c:f>
              <c:strCache>
                <c:ptCount val="6"/>
                <c:pt idx="0">
                  <c:v>Diet</c:v>
                </c:pt>
                <c:pt idx="1">
                  <c:v>Lemon Lime</c:v>
                </c:pt>
                <c:pt idx="2">
                  <c:v>Orange</c:v>
                </c:pt>
                <c:pt idx="3">
                  <c:v>*Ginger beer</c:v>
                </c:pt>
                <c:pt idx="5">
                  <c:v>*Estimate</c:v>
                </c:pt>
              </c:strCache>
            </c:strRef>
          </c:cat>
          <c:val>
            <c:numRef>
              <c:f>'DELETE Quantum Run 03-25-2025 '!$G$29:$G$33</c:f>
              <c:numCache>
                <c:formatCode>0%</c:formatCode>
                <c:ptCount val="5"/>
                <c:pt idx="0">
                  <c:v>0.19269369731031713</c:v>
                </c:pt>
                <c:pt idx="1">
                  <c:v>0.1553592934564432</c:v>
                </c:pt>
                <c:pt idx="2">
                  <c:v>7.4668807707747892E-2</c:v>
                </c:pt>
                <c:pt idx="3">
                  <c:v>7.4668807707747892E-2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DE-43E6-AFC4-8D2D7EDFA2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16</xdr:row>
      <xdr:rowOff>88138</xdr:rowOff>
    </xdr:from>
    <xdr:ext cx="68580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42231E9-93C0-4B97-B17A-49B67EC1A8E8}"/>
            </a:ext>
          </a:extLst>
        </xdr:cNvPr>
        <xdr:cNvSpPr/>
      </xdr:nvSpPr>
      <xdr:spPr>
        <a:xfrm>
          <a:off x="457200" y="2770378"/>
          <a:ext cx="6858000" cy="0"/>
        </a:xfrm>
        <a:custGeom>
          <a:avLst/>
          <a:gdLst/>
          <a:ahLst/>
          <a:cxnLst/>
          <a:rect l="0" t="0" r="0" b="0"/>
          <a:pathLst>
            <a:path w="6858000">
              <a:moveTo>
                <a:pt x="0" y="0"/>
              </a:moveTo>
              <a:lnTo>
                <a:pt x="6858000" y="0"/>
              </a:lnTo>
            </a:path>
          </a:pathLst>
        </a:custGeom>
        <a:ln w="12700">
          <a:solidFill>
            <a:srgbClr val="C7C8CA"/>
          </a:solidFill>
        </a:ln>
      </xdr:spPr>
    </xdr:sp>
    <xdr:clientData/>
  </xdr:oneCellAnchor>
  <xdr:oneCellAnchor>
    <xdr:from>
      <xdr:col>3</xdr:col>
      <xdr:colOff>1137920</xdr:colOff>
      <xdr:row>0</xdr:row>
      <xdr:rowOff>6350</xdr:rowOff>
    </xdr:from>
    <xdr:ext cx="439356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EFFE59B-F7F9-48C8-B913-DB12254CA071}"/>
            </a:ext>
          </a:extLst>
        </xdr:cNvPr>
        <xdr:cNvSpPr/>
      </xdr:nvSpPr>
      <xdr:spPr>
        <a:xfrm>
          <a:off x="2440940" y="6350"/>
          <a:ext cx="4393565" cy="0"/>
        </a:xfrm>
        <a:custGeom>
          <a:avLst/>
          <a:gdLst/>
          <a:ahLst/>
          <a:cxnLst/>
          <a:rect l="0" t="0" r="0" b="0"/>
          <a:pathLst>
            <a:path w="4393565">
              <a:moveTo>
                <a:pt x="0" y="0"/>
              </a:moveTo>
              <a:lnTo>
                <a:pt x="4393184" y="0"/>
              </a:lnTo>
            </a:path>
          </a:pathLst>
        </a:custGeom>
        <a:ln w="12700">
          <a:solidFill>
            <a:srgbClr val="E52619"/>
          </a:solidFill>
        </a:ln>
      </xdr:spPr>
    </xdr:sp>
    <xdr:clientData/>
  </xdr:oneCellAnchor>
  <xdr:oneCellAnchor>
    <xdr:from>
      <xdr:col>0</xdr:col>
      <xdr:colOff>511856</xdr:colOff>
      <xdr:row>15</xdr:row>
      <xdr:rowOff>107913</xdr:rowOff>
    </xdr:from>
    <xdr:ext cx="6671309" cy="844550"/>
    <xdr:grpSp>
      <xdr:nvGrpSpPr>
        <xdr:cNvPr id="4" name="Group 4">
          <a:extLst>
            <a:ext uri="{FF2B5EF4-FFF2-40B4-BE49-F238E27FC236}">
              <a16:creationId xmlns:a16="http://schemas.microsoft.com/office/drawing/2014/main" id="{034B3E9F-395E-401F-AE41-1BB67C4A96AF}"/>
            </a:ext>
          </a:extLst>
        </xdr:cNvPr>
        <xdr:cNvGrpSpPr/>
      </xdr:nvGrpSpPr>
      <xdr:grpSpPr>
        <a:xfrm>
          <a:off x="511856" y="6081993"/>
          <a:ext cx="6671309" cy="844550"/>
          <a:chOff x="0" y="0"/>
          <a:chExt cx="6671309" cy="844550"/>
        </a:xfrm>
      </xdr:grpSpPr>
      <xdr:pic>
        <xdr:nvPicPr>
          <xdr:cNvPr id="5" name="image1.jpeg">
            <a:extLst>
              <a:ext uri="{FF2B5EF4-FFF2-40B4-BE49-F238E27FC236}">
                <a16:creationId xmlns:a16="http://schemas.microsoft.com/office/drawing/2014/main" id="{2B1FE359-4491-499D-FC6E-A9BB8674A1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491"/>
            <a:ext cx="4966164" cy="811776"/>
          </a:xfrm>
          <a:prstGeom prst="rect">
            <a:avLst/>
          </a:prstGeom>
        </xdr:spPr>
      </xdr:pic>
      <xdr:pic>
        <xdr:nvPicPr>
          <xdr:cNvPr id="6" name="image2.jpeg">
            <a:extLst>
              <a:ext uri="{FF2B5EF4-FFF2-40B4-BE49-F238E27FC236}">
                <a16:creationId xmlns:a16="http://schemas.microsoft.com/office/drawing/2014/main" id="{18CBDE72-26A2-EC81-40FD-1E894605B1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9275" y="0"/>
            <a:ext cx="1641439" cy="394629"/>
          </a:xfrm>
          <a:prstGeom prst="rect">
            <a:avLst/>
          </a:prstGeom>
        </xdr:spPr>
      </xdr:pic>
      <xdr:pic>
        <xdr:nvPicPr>
          <xdr:cNvPr id="7" name="image3.jpeg">
            <a:extLst>
              <a:ext uri="{FF2B5EF4-FFF2-40B4-BE49-F238E27FC236}">
                <a16:creationId xmlns:a16="http://schemas.microsoft.com/office/drawing/2014/main" id="{AE7172A2-9764-0DA7-FEFF-A2D0AD294D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96424" y="428674"/>
            <a:ext cx="1213359" cy="39462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0</xdr:colOff>
      <xdr:row>13</xdr:row>
      <xdr:rowOff>110885</xdr:rowOff>
    </xdr:from>
    <xdr:ext cx="386689" cy="386664"/>
    <xdr:pic>
      <xdr:nvPicPr>
        <xdr:cNvPr id="8" name="image4.png">
          <a:extLst>
            <a:ext uri="{FF2B5EF4-FFF2-40B4-BE49-F238E27FC236}">
              <a16:creationId xmlns:a16="http://schemas.microsoft.com/office/drawing/2014/main" id="{CF70F8D9-1B6C-4D04-9B7A-48C4C0968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90205"/>
          <a:ext cx="386689" cy="386664"/>
        </a:xfrm>
        <a:prstGeom prst="rect">
          <a:avLst/>
        </a:prstGeom>
      </xdr:spPr>
    </xdr:pic>
    <xdr:clientData/>
  </xdr:oneCellAnchor>
  <xdr:oneCellAnchor>
    <xdr:from>
      <xdr:col>5</xdr:col>
      <xdr:colOff>149579</xdr:colOff>
      <xdr:row>13</xdr:row>
      <xdr:rowOff>110885</xdr:rowOff>
    </xdr:from>
    <xdr:ext cx="386689" cy="386664"/>
    <xdr:pic>
      <xdr:nvPicPr>
        <xdr:cNvPr id="9" name="image5.png">
          <a:extLst>
            <a:ext uri="{FF2B5EF4-FFF2-40B4-BE49-F238E27FC236}">
              <a16:creationId xmlns:a16="http://schemas.microsoft.com/office/drawing/2014/main" id="{5185D300-029C-4592-99C7-F8985AF5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579" y="2290205"/>
          <a:ext cx="386689" cy="386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827815</xdr:rowOff>
    </xdr:from>
    <xdr:ext cx="386715" cy="386715"/>
    <xdr:grpSp>
      <xdr:nvGrpSpPr>
        <xdr:cNvPr id="10" name="Group 10">
          <a:extLst>
            <a:ext uri="{FF2B5EF4-FFF2-40B4-BE49-F238E27FC236}">
              <a16:creationId xmlns:a16="http://schemas.microsoft.com/office/drawing/2014/main" id="{1C90FE90-6D8B-4ADA-90AB-700F325DB194}"/>
            </a:ext>
          </a:extLst>
        </xdr:cNvPr>
        <xdr:cNvGrpSpPr/>
      </xdr:nvGrpSpPr>
      <xdr:grpSpPr>
        <a:xfrm>
          <a:off x="716280" y="4889275"/>
          <a:ext cx="386715" cy="386715"/>
          <a:chOff x="0" y="0"/>
          <a:chExt cx="386715" cy="386715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5A576BFF-F7A1-0C4B-43C5-AE0170A083DE}"/>
              </a:ext>
            </a:extLst>
          </xdr:cNvPr>
          <xdr:cNvSpPr/>
        </xdr:nvSpPr>
        <xdr:spPr>
          <a:xfrm>
            <a:off x="0" y="0"/>
            <a:ext cx="386715" cy="386715"/>
          </a:xfrm>
          <a:custGeom>
            <a:avLst/>
            <a:gdLst/>
            <a:ahLst/>
            <a:cxnLst/>
            <a:rect l="0" t="0" r="0" b="0"/>
            <a:pathLst>
              <a:path w="386715" h="386715">
                <a:moveTo>
                  <a:pt x="193357" y="0"/>
                </a:moveTo>
                <a:lnTo>
                  <a:pt x="149024" y="5105"/>
                </a:lnTo>
                <a:lnTo>
                  <a:pt x="108326" y="19649"/>
                </a:lnTo>
                <a:lnTo>
                  <a:pt x="72425" y="42470"/>
                </a:lnTo>
                <a:lnTo>
                  <a:pt x="42480" y="72409"/>
                </a:lnTo>
                <a:lnTo>
                  <a:pt x="19654" y="108306"/>
                </a:lnTo>
                <a:lnTo>
                  <a:pt x="5107" y="149000"/>
                </a:lnTo>
                <a:lnTo>
                  <a:pt x="0" y="193332"/>
                </a:lnTo>
                <a:lnTo>
                  <a:pt x="5107" y="237663"/>
                </a:lnTo>
                <a:lnTo>
                  <a:pt x="19654" y="278357"/>
                </a:lnTo>
                <a:lnTo>
                  <a:pt x="42480" y="314254"/>
                </a:lnTo>
                <a:lnTo>
                  <a:pt x="72425" y="344193"/>
                </a:lnTo>
                <a:lnTo>
                  <a:pt x="108326" y="367014"/>
                </a:lnTo>
                <a:lnTo>
                  <a:pt x="149024" y="381558"/>
                </a:lnTo>
                <a:lnTo>
                  <a:pt x="193357" y="386664"/>
                </a:lnTo>
                <a:lnTo>
                  <a:pt x="237685" y="381558"/>
                </a:lnTo>
                <a:lnTo>
                  <a:pt x="278377" y="367014"/>
                </a:lnTo>
                <a:lnTo>
                  <a:pt x="314274" y="344193"/>
                </a:lnTo>
                <a:lnTo>
                  <a:pt x="344214" y="314254"/>
                </a:lnTo>
                <a:lnTo>
                  <a:pt x="367038" y="278357"/>
                </a:lnTo>
                <a:lnTo>
                  <a:pt x="381583" y="237663"/>
                </a:lnTo>
                <a:lnTo>
                  <a:pt x="386689" y="193332"/>
                </a:lnTo>
                <a:lnTo>
                  <a:pt x="381583" y="149000"/>
                </a:lnTo>
                <a:lnTo>
                  <a:pt x="367038" y="108306"/>
                </a:lnTo>
                <a:lnTo>
                  <a:pt x="344214" y="72409"/>
                </a:lnTo>
                <a:lnTo>
                  <a:pt x="314274" y="42470"/>
                </a:lnTo>
                <a:lnTo>
                  <a:pt x="278377" y="19649"/>
                </a:lnTo>
                <a:lnTo>
                  <a:pt x="237685" y="5105"/>
                </a:lnTo>
                <a:lnTo>
                  <a:pt x="193357" y="0"/>
                </a:lnTo>
                <a:close/>
              </a:path>
            </a:pathLst>
          </a:custGeom>
          <a:solidFill>
            <a:srgbClr val="E52619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1B396391-9159-D0B2-A593-1B468E264A87}"/>
              </a:ext>
            </a:extLst>
          </xdr:cNvPr>
          <xdr:cNvSpPr/>
        </xdr:nvSpPr>
        <xdr:spPr>
          <a:xfrm>
            <a:off x="69662" y="71395"/>
            <a:ext cx="246379" cy="245745"/>
          </a:xfrm>
          <a:custGeom>
            <a:avLst/>
            <a:gdLst/>
            <a:ahLst/>
            <a:cxnLst/>
            <a:rect l="0" t="0" r="0" b="0"/>
            <a:pathLst>
              <a:path w="246379" h="245745">
                <a:moveTo>
                  <a:pt x="77736" y="216395"/>
                </a:moveTo>
                <a:lnTo>
                  <a:pt x="76200" y="210121"/>
                </a:lnTo>
                <a:lnTo>
                  <a:pt x="73037" y="208241"/>
                </a:lnTo>
                <a:lnTo>
                  <a:pt x="69786" y="205930"/>
                </a:lnTo>
                <a:lnTo>
                  <a:pt x="67995" y="206489"/>
                </a:lnTo>
                <a:lnTo>
                  <a:pt x="27520" y="206400"/>
                </a:lnTo>
                <a:lnTo>
                  <a:pt x="20662" y="204952"/>
                </a:lnTo>
                <a:lnTo>
                  <a:pt x="16040" y="201269"/>
                </a:lnTo>
                <a:lnTo>
                  <a:pt x="14185" y="195961"/>
                </a:lnTo>
                <a:lnTo>
                  <a:pt x="15646" y="189598"/>
                </a:lnTo>
                <a:lnTo>
                  <a:pt x="21132" y="179057"/>
                </a:lnTo>
                <a:lnTo>
                  <a:pt x="38633" y="147955"/>
                </a:lnTo>
                <a:lnTo>
                  <a:pt x="41643" y="154063"/>
                </a:lnTo>
                <a:lnTo>
                  <a:pt x="43091" y="159804"/>
                </a:lnTo>
                <a:lnTo>
                  <a:pt x="45847" y="169481"/>
                </a:lnTo>
                <a:lnTo>
                  <a:pt x="47980" y="172834"/>
                </a:lnTo>
                <a:lnTo>
                  <a:pt x="57035" y="169989"/>
                </a:lnTo>
                <a:lnTo>
                  <a:pt x="58166" y="166801"/>
                </a:lnTo>
                <a:lnTo>
                  <a:pt x="46901" y="125120"/>
                </a:lnTo>
                <a:lnTo>
                  <a:pt x="44221" y="123431"/>
                </a:lnTo>
                <a:lnTo>
                  <a:pt x="2870" y="134594"/>
                </a:lnTo>
                <a:lnTo>
                  <a:pt x="0" y="136855"/>
                </a:lnTo>
                <a:lnTo>
                  <a:pt x="2616" y="146278"/>
                </a:lnTo>
                <a:lnTo>
                  <a:pt x="6477" y="146507"/>
                </a:lnTo>
                <a:lnTo>
                  <a:pt x="28130" y="140893"/>
                </a:lnTo>
                <a:lnTo>
                  <a:pt x="15735" y="162623"/>
                </a:lnTo>
                <a:lnTo>
                  <a:pt x="9829" y="173329"/>
                </a:lnTo>
                <a:lnTo>
                  <a:pt x="4406" y="184175"/>
                </a:lnTo>
                <a:lnTo>
                  <a:pt x="1866" y="197002"/>
                </a:lnTo>
                <a:lnTo>
                  <a:pt x="5626" y="208102"/>
                </a:lnTo>
                <a:lnTo>
                  <a:pt x="14541" y="215938"/>
                </a:lnTo>
                <a:lnTo>
                  <a:pt x="27406" y="218935"/>
                </a:lnTo>
                <a:lnTo>
                  <a:pt x="66294" y="219125"/>
                </a:lnTo>
                <a:lnTo>
                  <a:pt x="74599" y="218694"/>
                </a:lnTo>
                <a:lnTo>
                  <a:pt x="77736" y="216395"/>
                </a:lnTo>
                <a:close/>
              </a:path>
              <a:path w="246379" h="245745">
                <a:moveTo>
                  <a:pt x="184061" y="29070"/>
                </a:moveTo>
                <a:lnTo>
                  <a:pt x="183222" y="25476"/>
                </a:lnTo>
                <a:lnTo>
                  <a:pt x="173558" y="23368"/>
                </a:lnTo>
                <a:lnTo>
                  <a:pt x="171615" y="26809"/>
                </a:lnTo>
                <a:lnTo>
                  <a:pt x="166535" y="48920"/>
                </a:lnTo>
                <a:lnTo>
                  <a:pt x="153847" y="27317"/>
                </a:lnTo>
                <a:lnTo>
                  <a:pt x="148932" y="19278"/>
                </a:lnTo>
                <a:lnTo>
                  <a:pt x="143548" y="11595"/>
                </a:lnTo>
                <a:lnTo>
                  <a:pt x="133794" y="2921"/>
                </a:lnTo>
                <a:lnTo>
                  <a:pt x="123088" y="0"/>
                </a:lnTo>
                <a:lnTo>
                  <a:pt x="112687" y="2870"/>
                </a:lnTo>
                <a:lnTo>
                  <a:pt x="103886" y="11531"/>
                </a:lnTo>
                <a:lnTo>
                  <a:pt x="95059" y="25615"/>
                </a:lnTo>
                <a:lnTo>
                  <a:pt x="86614" y="39966"/>
                </a:lnTo>
                <a:lnTo>
                  <a:pt x="68300" y="72085"/>
                </a:lnTo>
                <a:lnTo>
                  <a:pt x="68491" y="75984"/>
                </a:lnTo>
                <a:lnTo>
                  <a:pt x="75857" y="79527"/>
                </a:lnTo>
                <a:lnTo>
                  <a:pt x="79209" y="78511"/>
                </a:lnTo>
                <a:lnTo>
                  <a:pt x="84213" y="69329"/>
                </a:lnTo>
                <a:lnTo>
                  <a:pt x="112268" y="21094"/>
                </a:lnTo>
                <a:lnTo>
                  <a:pt x="117170" y="15176"/>
                </a:lnTo>
                <a:lnTo>
                  <a:pt x="122402" y="12801"/>
                </a:lnTo>
                <a:lnTo>
                  <a:pt x="127825" y="14020"/>
                </a:lnTo>
                <a:lnTo>
                  <a:pt x="149809" y="45300"/>
                </a:lnTo>
                <a:lnTo>
                  <a:pt x="155689" y="55943"/>
                </a:lnTo>
                <a:lnTo>
                  <a:pt x="141782" y="52793"/>
                </a:lnTo>
                <a:lnTo>
                  <a:pt x="131597" y="50787"/>
                </a:lnTo>
                <a:lnTo>
                  <a:pt x="128600" y="52565"/>
                </a:lnTo>
                <a:lnTo>
                  <a:pt x="127317" y="60337"/>
                </a:lnTo>
                <a:lnTo>
                  <a:pt x="129540" y="62865"/>
                </a:lnTo>
                <a:lnTo>
                  <a:pt x="171742" y="72631"/>
                </a:lnTo>
                <a:lnTo>
                  <a:pt x="174358" y="70446"/>
                </a:lnTo>
                <a:lnTo>
                  <a:pt x="184061" y="29070"/>
                </a:lnTo>
                <a:close/>
              </a:path>
              <a:path w="246379" h="245745">
                <a:moveTo>
                  <a:pt x="246303" y="197205"/>
                </a:moveTo>
                <a:lnTo>
                  <a:pt x="229933" y="159004"/>
                </a:lnTo>
                <a:lnTo>
                  <a:pt x="209626" y="129019"/>
                </a:lnTo>
                <a:lnTo>
                  <a:pt x="203022" y="133324"/>
                </a:lnTo>
                <a:lnTo>
                  <a:pt x="202184" y="136512"/>
                </a:lnTo>
                <a:lnTo>
                  <a:pt x="206197" y="143141"/>
                </a:lnTo>
                <a:lnTo>
                  <a:pt x="231190" y="186829"/>
                </a:lnTo>
                <a:lnTo>
                  <a:pt x="233667" y="194564"/>
                </a:lnTo>
                <a:lnTo>
                  <a:pt x="232257" y="200748"/>
                </a:lnTo>
                <a:lnTo>
                  <a:pt x="227368" y="204889"/>
                </a:lnTo>
                <a:lnTo>
                  <a:pt x="219367" y="206463"/>
                </a:lnTo>
                <a:lnTo>
                  <a:pt x="166128" y="206489"/>
                </a:lnTo>
                <a:lnTo>
                  <a:pt x="165188" y="204787"/>
                </a:lnTo>
                <a:lnTo>
                  <a:pt x="182219" y="188937"/>
                </a:lnTo>
                <a:lnTo>
                  <a:pt x="182816" y="185470"/>
                </a:lnTo>
                <a:lnTo>
                  <a:pt x="176822" y="179324"/>
                </a:lnTo>
                <a:lnTo>
                  <a:pt x="173367" y="179819"/>
                </a:lnTo>
                <a:lnTo>
                  <a:pt x="143205" y="210070"/>
                </a:lnTo>
                <a:lnTo>
                  <a:pt x="142849" y="213614"/>
                </a:lnTo>
                <a:lnTo>
                  <a:pt x="173126" y="243967"/>
                </a:lnTo>
                <a:lnTo>
                  <a:pt x="176276" y="245198"/>
                </a:lnTo>
                <a:lnTo>
                  <a:pt x="183070" y="238658"/>
                </a:lnTo>
                <a:lnTo>
                  <a:pt x="182130" y="235191"/>
                </a:lnTo>
                <a:lnTo>
                  <a:pt x="166166" y="220535"/>
                </a:lnTo>
                <a:lnTo>
                  <a:pt x="167106" y="218973"/>
                </a:lnTo>
                <a:lnTo>
                  <a:pt x="221538" y="218909"/>
                </a:lnTo>
                <a:lnTo>
                  <a:pt x="233807" y="215811"/>
                </a:lnTo>
                <a:lnTo>
                  <a:pt x="242493" y="208000"/>
                </a:lnTo>
                <a:lnTo>
                  <a:pt x="246303" y="19720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5</xdr:col>
      <xdr:colOff>148631</xdr:colOff>
      <xdr:row>13</xdr:row>
      <xdr:rowOff>827809</xdr:rowOff>
    </xdr:from>
    <xdr:ext cx="386715" cy="386715"/>
    <xdr:grpSp>
      <xdr:nvGrpSpPr>
        <xdr:cNvPr id="13" name="Group 13">
          <a:extLst>
            <a:ext uri="{FF2B5EF4-FFF2-40B4-BE49-F238E27FC236}">
              <a16:creationId xmlns:a16="http://schemas.microsoft.com/office/drawing/2014/main" id="{C439DA6E-C195-4C64-B1C6-AE0CCC97A52B}"/>
            </a:ext>
          </a:extLst>
        </xdr:cNvPr>
        <xdr:cNvGrpSpPr/>
      </xdr:nvGrpSpPr>
      <xdr:grpSpPr>
        <a:xfrm>
          <a:off x="5002571" y="4889269"/>
          <a:ext cx="386715" cy="386715"/>
          <a:chOff x="0" y="0"/>
          <a:chExt cx="386715" cy="38671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1EBDC59D-4714-4AB6-1F8F-59BCEA559B3E}"/>
              </a:ext>
            </a:extLst>
          </xdr:cNvPr>
          <xdr:cNvSpPr/>
        </xdr:nvSpPr>
        <xdr:spPr>
          <a:xfrm>
            <a:off x="0" y="0"/>
            <a:ext cx="386715" cy="386715"/>
          </a:xfrm>
          <a:custGeom>
            <a:avLst/>
            <a:gdLst/>
            <a:ahLst/>
            <a:cxnLst/>
            <a:rect l="0" t="0" r="0" b="0"/>
            <a:pathLst>
              <a:path w="386715" h="386715">
                <a:moveTo>
                  <a:pt x="193357" y="0"/>
                </a:moveTo>
                <a:lnTo>
                  <a:pt x="149024" y="5106"/>
                </a:lnTo>
                <a:lnTo>
                  <a:pt x="108326" y="19651"/>
                </a:lnTo>
                <a:lnTo>
                  <a:pt x="72425" y="42475"/>
                </a:lnTo>
                <a:lnTo>
                  <a:pt x="42480" y="72417"/>
                </a:lnTo>
                <a:lnTo>
                  <a:pt x="19654" y="108316"/>
                </a:lnTo>
                <a:lnTo>
                  <a:pt x="5107" y="149012"/>
                </a:lnTo>
                <a:lnTo>
                  <a:pt x="0" y="193344"/>
                </a:lnTo>
                <a:lnTo>
                  <a:pt x="5107" y="237677"/>
                </a:lnTo>
                <a:lnTo>
                  <a:pt x="19654" y="278373"/>
                </a:lnTo>
                <a:lnTo>
                  <a:pt x="42480" y="314272"/>
                </a:lnTo>
                <a:lnTo>
                  <a:pt x="72425" y="344213"/>
                </a:lnTo>
                <a:lnTo>
                  <a:pt x="108326" y="367037"/>
                </a:lnTo>
                <a:lnTo>
                  <a:pt x="149024" y="381583"/>
                </a:lnTo>
                <a:lnTo>
                  <a:pt x="193357" y="386689"/>
                </a:lnTo>
                <a:lnTo>
                  <a:pt x="237689" y="381583"/>
                </a:lnTo>
                <a:lnTo>
                  <a:pt x="278385" y="367037"/>
                </a:lnTo>
                <a:lnTo>
                  <a:pt x="314284" y="344213"/>
                </a:lnTo>
                <a:lnTo>
                  <a:pt x="344226" y="314272"/>
                </a:lnTo>
                <a:lnTo>
                  <a:pt x="367050" y="278373"/>
                </a:lnTo>
                <a:lnTo>
                  <a:pt x="381595" y="237677"/>
                </a:lnTo>
                <a:lnTo>
                  <a:pt x="386702" y="193344"/>
                </a:lnTo>
                <a:lnTo>
                  <a:pt x="381595" y="149012"/>
                </a:lnTo>
                <a:lnTo>
                  <a:pt x="367050" y="108316"/>
                </a:lnTo>
                <a:lnTo>
                  <a:pt x="344226" y="72417"/>
                </a:lnTo>
                <a:lnTo>
                  <a:pt x="314284" y="42475"/>
                </a:lnTo>
                <a:lnTo>
                  <a:pt x="278385" y="19651"/>
                </a:lnTo>
                <a:lnTo>
                  <a:pt x="237689" y="5106"/>
                </a:lnTo>
                <a:lnTo>
                  <a:pt x="193357" y="0"/>
                </a:lnTo>
                <a:close/>
              </a:path>
            </a:pathLst>
          </a:custGeom>
          <a:solidFill>
            <a:srgbClr val="E52619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6EAC48BF-3F23-41A6-3251-DBB36F87EFC4}"/>
              </a:ext>
            </a:extLst>
          </xdr:cNvPr>
          <xdr:cNvSpPr/>
        </xdr:nvSpPr>
        <xdr:spPr>
          <a:xfrm>
            <a:off x="45049" y="186616"/>
            <a:ext cx="109220" cy="0"/>
          </a:xfrm>
          <a:custGeom>
            <a:avLst/>
            <a:gdLst/>
            <a:ahLst/>
            <a:cxnLst/>
            <a:rect l="0" t="0" r="0" b="0"/>
            <a:pathLst>
              <a:path w="109220">
                <a:moveTo>
                  <a:pt x="0" y="0"/>
                </a:moveTo>
                <a:lnTo>
                  <a:pt x="109023" y="0"/>
                </a:lnTo>
              </a:path>
            </a:pathLst>
          </a:custGeom>
          <a:ln w="10655">
            <a:solidFill>
              <a:srgbClr val="FFFFFF"/>
            </a:solidFill>
            <a:prstDash val="dash"/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81432188-30D9-2324-2D1D-D07DE42A4CF5}"/>
              </a:ext>
            </a:extLst>
          </xdr:cNvPr>
          <xdr:cNvSpPr/>
        </xdr:nvSpPr>
        <xdr:spPr>
          <a:xfrm>
            <a:off x="45044" y="108409"/>
            <a:ext cx="297180" cy="90170"/>
          </a:xfrm>
          <a:custGeom>
            <a:avLst/>
            <a:gdLst/>
            <a:ahLst/>
            <a:cxnLst/>
            <a:rect l="0" t="0" r="0" b="0"/>
            <a:pathLst>
              <a:path w="297180" h="90170">
                <a:moveTo>
                  <a:pt x="9626" y="58635"/>
                </a:moveTo>
                <a:lnTo>
                  <a:pt x="6172" y="58331"/>
                </a:lnTo>
                <a:lnTo>
                  <a:pt x="4775" y="54660"/>
                </a:lnTo>
                <a:lnTo>
                  <a:pt x="3454" y="58369"/>
                </a:lnTo>
                <a:lnTo>
                  <a:pt x="0" y="58788"/>
                </a:lnTo>
                <a:lnTo>
                  <a:pt x="2654" y="61391"/>
                </a:lnTo>
                <a:lnTo>
                  <a:pt x="1917" y="65316"/>
                </a:lnTo>
                <a:lnTo>
                  <a:pt x="4876" y="63220"/>
                </a:lnTo>
                <a:lnTo>
                  <a:pt x="7861" y="65239"/>
                </a:lnTo>
                <a:lnTo>
                  <a:pt x="7061" y="61315"/>
                </a:lnTo>
                <a:lnTo>
                  <a:pt x="9626" y="58635"/>
                </a:lnTo>
                <a:close/>
              </a:path>
              <a:path w="297180" h="90170">
                <a:moveTo>
                  <a:pt x="9626" y="40424"/>
                </a:moveTo>
                <a:lnTo>
                  <a:pt x="6172" y="40119"/>
                </a:lnTo>
                <a:lnTo>
                  <a:pt x="4775" y="36449"/>
                </a:lnTo>
                <a:lnTo>
                  <a:pt x="3454" y="40157"/>
                </a:lnTo>
                <a:lnTo>
                  <a:pt x="0" y="40576"/>
                </a:lnTo>
                <a:lnTo>
                  <a:pt x="2654" y="43180"/>
                </a:lnTo>
                <a:lnTo>
                  <a:pt x="1917" y="47104"/>
                </a:lnTo>
                <a:lnTo>
                  <a:pt x="4876" y="45008"/>
                </a:lnTo>
                <a:lnTo>
                  <a:pt x="7861" y="47028"/>
                </a:lnTo>
                <a:lnTo>
                  <a:pt x="7061" y="43103"/>
                </a:lnTo>
                <a:lnTo>
                  <a:pt x="9626" y="40424"/>
                </a:lnTo>
                <a:close/>
              </a:path>
              <a:path w="297180" h="90170">
                <a:moveTo>
                  <a:pt x="9626" y="22199"/>
                </a:moveTo>
                <a:lnTo>
                  <a:pt x="6172" y="21894"/>
                </a:lnTo>
                <a:lnTo>
                  <a:pt x="4775" y="18224"/>
                </a:lnTo>
                <a:lnTo>
                  <a:pt x="3454" y="21932"/>
                </a:lnTo>
                <a:lnTo>
                  <a:pt x="0" y="22352"/>
                </a:lnTo>
                <a:lnTo>
                  <a:pt x="2654" y="24968"/>
                </a:lnTo>
                <a:lnTo>
                  <a:pt x="1917" y="28879"/>
                </a:lnTo>
                <a:lnTo>
                  <a:pt x="4876" y="26784"/>
                </a:lnTo>
                <a:lnTo>
                  <a:pt x="7861" y="28803"/>
                </a:lnTo>
                <a:lnTo>
                  <a:pt x="7061" y="24879"/>
                </a:lnTo>
                <a:lnTo>
                  <a:pt x="9626" y="22199"/>
                </a:lnTo>
                <a:close/>
              </a:path>
              <a:path w="297180" h="90170">
                <a:moveTo>
                  <a:pt x="9626" y="3987"/>
                </a:moveTo>
                <a:lnTo>
                  <a:pt x="6172" y="3683"/>
                </a:lnTo>
                <a:lnTo>
                  <a:pt x="4775" y="12"/>
                </a:lnTo>
                <a:lnTo>
                  <a:pt x="3454" y="3721"/>
                </a:lnTo>
                <a:lnTo>
                  <a:pt x="0" y="4140"/>
                </a:lnTo>
                <a:lnTo>
                  <a:pt x="2654" y="6756"/>
                </a:lnTo>
                <a:lnTo>
                  <a:pt x="1917" y="10668"/>
                </a:lnTo>
                <a:lnTo>
                  <a:pt x="4876" y="8572"/>
                </a:lnTo>
                <a:lnTo>
                  <a:pt x="7861" y="10591"/>
                </a:lnTo>
                <a:lnTo>
                  <a:pt x="7061" y="6667"/>
                </a:lnTo>
                <a:lnTo>
                  <a:pt x="9626" y="3987"/>
                </a:lnTo>
                <a:close/>
              </a:path>
              <a:path w="297180" h="90170">
                <a:moveTo>
                  <a:pt x="19812" y="68186"/>
                </a:moveTo>
                <a:lnTo>
                  <a:pt x="16344" y="67881"/>
                </a:lnTo>
                <a:lnTo>
                  <a:pt x="14947" y="64211"/>
                </a:lnTo>
                <a:lnTo>
                  <a:pt x="13627" y="67919"/>
                </a:lnTo>
                <a:lnTo>
                  <a:pt x="10172" y="68338"/>
                </a:lnTo>
                <a:lnTo>
                  <a:pt x="12827" y="70942"/>
                </a:lnTo>
                <a:lnTo>
                  <a:pt x="12090" y="74866"/>
                </a:lnTo>
                <a:lnTo>
                  <a:pt x="15049" y="72771"/>
                </a:lnTo>
                <a:lnTo>
                  <a:pt x="18034" y="74790"/>
                </a:lnTo>
                <a:lnTo>
                  <a:pt x="17233" y="70866"/>
                </a:lnTo>
                <a:lnTo>
                  <a:pt x="19812" y="68186"/>
                </a:lnTo>
                <a:close/>
              </a:path>
              <a:path w="297180" h="90170">
                <a:moveTo>
                  <a:pt x="19812" y="49961"/>
                </a:moveTo>
                <a:lnTo>
                  <a:pt x="16344" y="49657"/>
                </a:lnTo>
                <a:lnTo>
                  <a:pt x="14947" y="45986"/>
                </a:lnTo>
                <a:lnTo>
                  <a:pt x="13627" y="49695"/>
                </a:lnTo>
                <a:lnTo>
                  <a:pt x="10172" y="50114"/>
                </a:lnTo>
                <a:lnTo>
                  <a:pt x="12827" y="52730"/>
                </a:lnTo>
                <a:lnTo>
                  <a:pt x="12090" y="56642"/>
                </a:lnTo>
                <a:lnTo>
                  <a:pt x="15049" y="54546"/>
                </a:lnTo>
                <a:lnTo>
                  <a:pt x="18034" y="56565"/>
                </a:lnTo>
                <a:lnTo>
                  <a:pt x="17233" y="52641"/>
                </a:lnTo>
                <a:lnTo>
                  <a:pt x="19812" y="49961"/>
                </a:lnTo>
                <a:close/>
              </a:path>
              <a:path w="297180" h="90170">
                <a:moveTo>
                  <a:pt x="19812" y="31750"/>
                </a:moveTo>
                <a:lnTo>
                  <a:pt x="16344" y="31445"/>
                </a:lnTo>
                <a:lnTo>
                  <a:pt x="14947" y="27774"/>
                </a:lnTo>
                <a:lnTo>
                  <a:pt x="13627" y="31483"/>
                </a:lnTo>
                <a:lnTo>
                  <a:pt x="10172" y="31902"/>
                </a:lnTo>
                <a:lnTo>
                  <a:pt x="12827" y="34518"/>
                </a:lnTo>
                <a:lnTo>
                  <a:pt x="12090" y="38430"/>
                </a:lnTo>
                <a:lnTo>
                  <a:pt x="15049" y="36334"/>
                </a:lnTo>
                <a:lnTo>
                  <a:pt x="18034" y="38354"/>
                </a:lnTo>
                <a:lnTo>
                  <a:pt x="17233" y="34429"/>
                </a:lnTo>
                <a:lnTo>
                  <a:pt x="19812" y="31750"/>
                </a:lnTo>
                <a:close/>
              </a:path>
              <a:path w="297180" h="90170">
                <a:moveTo>
                  <a:pt x="19812" y="13525"/>
                </a:moveTo>
                <a:lnTo>
                  <a:pt x="16344" y="13220"/>
                </a:lnTo>
                <a:lnTo>
                  <a:pt x="14947" y="9537"/>
                </a:lnTo>
                <a:lnTo>
                  <a:pt x="13627" y="13258"/>
                </a:lnTo>
                <a:lnTo>
                  <a:pt x="10172" y="13677"/>
                </a:lnTo>
                <a:lnTo>
                  <a:pt x="12827" y="16281"/>
                </a:lnTo>
                <a:lnTo>
                  <a:pt x="12090" y="20205"/>
                </a:lnTo>
                <a:lnTo>
                  <a:pt x="15049" y="18110"/>
                </a:lnTo>
                <a:lnTo>
                  <a:pt x="18034" y="20129"/>
                </a:lnTo>
                <a:lnTo>
                  <a:pt x="17233" y="16205"/>
                </a:lnTo>
                <a:lnTo>
                  <a:pt x="19812" y="13525"/>
                </a:lnTo>
                <a:close/>
              </a:path>
              <a:path w="297180" h="90170">
                <a:moveTo>
                  <a:pt x="29197" y="58635"/>
                </a:moveTo>
                <a:lnTo>
                  <a:pt x="25742" y="58331"/>
                </a:lnTo>
                <a:lnTo>
                  <a:pt x="24345" y="54660"/>
                </a:lnTo>
                <a:lnTo>
                  <a:pt x="23025" y="58369"/>
                </a:lnTo>
                <a:lnTo>
                  <a:pt x="19570" y="58788"/>
                </a:lnTo>
                <a:lnTo>
                  <a:pt x="22225" y="61391"/>
                </a:lnTo>
                <a:lnTo>
                  <a:pt x="21488" y="65316"/>
                </a:lnTo>
                <a:lnTo>
                  <a:pt x="24447" y="63220"/>
                </a:lnTo>
                <a:lnTo>
                  <a:pt x="27432" y="65239"/>
                </a:lnTo>
                <a:lnTo>
                  <a:pt x="26631" y="61315"/>
                </a:lnTo>
                <a:lnTo>
                  <a:pt x="29197" y="58635"/>
                </a:lnTo>
                <a:close/>
              </a:path>
              <a:path w="297180" h="90170">
                <a:moveTo>
                  <a:pt x="29197" y="40424"/>
                </a:moveTo>
                <a:lnTo>
                  <a:pt x="25742" y="40119"/>
                </a:lnTo>
                <a:lnTo>
                  <a:pt x="24345" y="36449"/>
                </a:lnTo>
                <a:lnTo>
                  <a:pt x="23025" y="40157"/>
                </a:lnTo>
                <a:lnTo>
                  <a:pt x="19570" y="40576"/>
                </a:lnTo>
                <a:lnTo>
                  <a:pt x="22225" y="43180"/>
                </a:lnTo>
                <a:lnTo>
                  <a:pt x="21488" y="47104"/>
                </a:lnTo>
                <a:lnTo>
                  <a:pt x="24447" y="45008"/>
                </a:lnTo>
                <a:lnTo>
                  <a:pt x="27432" y="47028"/>
                </a:lnTo>
                <a:lnTo>
                  <a:pt x="26631" y="43103"/>
                </a:lnTo>
                <a:lnTo>
                  <a:pt x="29197" y="40424"/>
                </a:lnTo>
                <a:close/>
              </a:path>
              <a:path w="297180" h="90170">
                <a:moveTo>
                  <a:pt x="29197" y="22199"/>
                </a:moveTo>
                <a:lnTo>
                  <a:pt x="25742" y="21894"/>
                </a:lnTo>
                <a:lnTo>
                  <a:pt x="24345" y="18224"/>
                </a:lnTo>
                <a:lnTo>
                  <a:pt x="23025" y="21932"/>
                </a:lnTo>
                <a:lnTo>
                  <a:pt x="19570" y="22352"/>
                </a:lnTo>
                <a:lnTo>
                  <a:pt x="22225" y="24968"/>
                </a:lnTo>
                <a:lnTo>
                  <a:pt x="21488" y="28879"/>
                </a:lnTo>
                <a:lnTo>
                  <a:pt x="24447" y="26784"/>
                </a:lnTo>
                <a:lnTo>
                  <a:pt x="27432" y="28803"/>
                </a:lnTo>
                <a:lnTo>
                  <a:pt x="26631" y="24879"/>
                </a:lnTo>
                <a:lnTo>
                  <a:pt x="29197" y="22199"/>
                </a:lnTo>
                <a:close/>
              </a:path>
              <a:path w="297180" h="90170">
                <a:moveTo>
                  <a:pt x="29197" y="3987"/>
                </a:moveTo>
                <a:lnTo>
                  <a:pt x="25742" y="3683"/>
                </a:lnTo>
                <a:lnTo>
                  <a:pt x="24345" y="12"/>
                </a:lnTo>
                <a:lnTo>
                  <a:pt x="23025" y="3721"/>
                </a:lnTo>
                <a:lnTo>
                  <a:pt x="19570" y="4140"/>
                </a:lnTo>
                <a:lnTo>
                  <a:pt x="22225" y="6756"/>
                </a:lnTo>
                <a:lnTo>
                  <a:pt x="21488" y="10668"/>
                </a:lnTo>
                <a:lnTo>
                  <a:pt x="24447" y="8572"/>
                </a:lnTo>
                <a:lnTo>
                  <a:pt x="27432" y="10591"/>
                </a:lnTo>
                <a:lnTo>
                  <a:pt x="26631" y="6667"/>
                </a:lnTo>
                <a:lnTo>
                  <a:pt x="29197" y="3987"/>
                </a:lnTo>
                <a:close/>
              </a:path>
              <a:path w="297180" h="90170">
                <a:moveTo>
                  <a:pt x="39370" y="68186"/>
                </a:moveTo>
                <a:lnTo>
                  <a:pt x="35915" y="67881"/>
                </a:lnTo>
                <a:lnTo>
                  <a:pt x="34518" y="64211"/>
                </a:lnTo>
                <a:lnTo>
                  <a:pt x="33197" y="67919"/>
                </a:lnTo>
                <a:lnTo>
                  <a:pt x="29743" y="68338"/>
                </a:lnTo>
                <a:lnTo>
                  <a:pt x="32397" y="70942"/>
                </a:lnTo>
                <a:lnTo>
                  <a:pt x="31661" y="74866"/>
                </a:lnTo>
                <a:lnTo>
                  <a:pt x="34620" y="72771"/>
                </a:lnTo>
                <a:lnTo>
                  <a:pt x="37604" y="74790"/>
                </a:lnTo>
                <a:lnTo>
                  <a:pt x="36804" y="70866"/>
                </a:lnTo>
                <a:lnTo>
                  <a:pt x="39370" y="68186"/>
                </a:lnTo>
                <a:close/>
              </a:path>
              <a:path w="297180" h="90170">
                <a:moveTo>
                  <a:pt x="39370" y="49961"/>
                </a:moveTo>
                <a:lnTo>
                  <a:pt x="35915" y="49657"/>
                </a:lnTo>
                <a:lnTo>
                  <a:pt x="34518" y="45986"/>
                </a:lnTo>
                <a:lnTo>
                  <a:pt x="33197" y="49695"/>
                </a:lnTo>
                <a:lnTo>
                  <a:pt x="29743" y="50114"/>
                </a:lnTo>
                <a:lnTo>
                  <a:pt x="32397" y="52730"/>
                </a:lnTo>
                <a:lnTo>
                  <a:pt x="31661" y="56642"/>
                </a:lnTo>
                <a:lnTo>
                  <a:pt x="34620" y="54546"/>
                </a:lnTo>
                <a:lnTo>
                  <a:pt x="37604" y="56565"/>
                </a:lnTo>
                <a:lnTo>
                  <a:pt x="36804" y="52641"/>
                </a:lnTo>
                <a:lnTo>
                  <a:pt x="39370" y="49961"/>
                </a:lnTo>
                <a:close/>
              </a:path>
              <a:path w="297180" h="90170">
                <a:moveTo>
                  <a:pt x="39370" y="31750"/>
                </a:moveTo>
                <a:lnTo>
                  <a:pt x="35915" y="31445"/>
                </a:lnTo>
                <a:lnTo>
                  <a:pt x="34518" y="27774"/>
                </a:lnTo>
                <a:lnTo>
                  <a:pt x="33197" y="31483"/>
                </a:lnTo>
                <a:lnTo>
                  <a:pt x="29743" y="31902"/>
                </a:lnTo>
                <a:lnTo>
                  <a:pt x="32397" y="34518"/>
                </a:lnTo>
                <a:lnTo>
                  <a:pt x="31661" y="38430"/>
                </a:lnTo>
                <a:lnTo>
                  <a:pt x="34620" y="36334"/>
                </a:lnTo>
                <a:lnTo>
                  <a:pt x="37604" y="38354"/>
                </a:lnTo>
                <a:lnTo>
                  <a:pt x="36804" y="34429"/>
                </a:lnTo>
                <a:lnTo>
                  <a:pt x="39370" y="31750"/>
                </a:lnTo>
                <a:close/>
              </a:path>
              <a:path w="297180" h="90170">
                <a:moveTo>
                  <a:pt x="39370" y="13525"/>
                </a:moveTo>
                <a:lnTo>
                  <a:pt x="35915" y="13220"/>
                </a:lnTo>
                <a:lnTo>
                  <a:pt x="34518" y="9537"/>
                </a:lnTo>
                <a:lnTo>
                  <a:pt x="33197" y="13258"/>
                </a:lnTo>
                <a:lnTo>
                  <a:pt x="29743" y="13677"/>
                </a:lnTo>
                <a:lnTo>
                  <a:pt x="32397" y="16281"/>
                </a:lnTo>
                <a:lnTo>
                  <a:pt x="31661" y="20205"/>
                </a:lnTo>
                <a:lnTo>
                  <a:pt x="34620" y="18110"/>
                </a:lnTo>
                <a:lnTo>
                  <a:pt x="37604" y="20129"/>
                </a:lnTo>
                <a:lnTo>
                  <a:pt x="36804" y="16205"/>
                </a:lnTo>
                <a:lnTo>
                  <a:pt x="39370" y="13525"/>
                </a:lnTo>
                <a:close/>
              </a:path>
              <a:path w="297180" h="90170">
                <a:moveTo>
                  <a:pt x="49542" y="58635"/>
                </a:moveTo>
                <a:lnTo>
                  <a:pt x="46088" y="58331"/>
                </a:lnTo>
                <a:lnTo>
                  <a:pt x="44678" y="54660"/>
                </a:lnTo>
                <a:lnTo>
                  <a:pt x="43370" y="58369"/>
                </a:lnTo>
                <a:lnTo>
                  <a:pt x="39916" y="58788"/>
                </a:lnTo>
                <a:lnTo>
                  <a:pt x="42570" y="61391"/>
                </a:lnTo>
                <a:lnTo>
                  <a:pt x="41833" y="65316"/>
                </a:lnTo>
                <a:lnTo>
                  <a:pt x="44792" y="63220"/>
                </a:lnTo>
                <a:lnTo>
                  <a:pt x="47777" y="65239"/>
                </a:lnTo>
                <a:lnTo>
                  <a:pt x="46964" y="61315"/>
                </a:lnTo>
                <a:lnTo>
                  <a:pt x="49542" y="58635"/>
                </a:lnTo>
                <a:close/>
              </a:path>
              <a:path w="297180" h="90170">
                <a:moveTo>
                  <a:pt x="49542" y="40424"/>
                </a:moveTo>
                <a:lnTo>
                  <a:pt x="46088" y="40119"/>
                </a:lnTo>
                <a:lnTo>
                  <a:pt x="44678" y="36449"/>
                </a:lnTo>
                <a:lnTo>
                  <a:pt x="43370" y="40157"/>
                </a:lnTo>
                <a:lnTo>
                  <a:pt x="39916" y="40576"/>
                </a:lnTo>
                <a:lnTo>
                  <a:pt x="42570" y="43180"/>
                </a:lnTo>
                <a:lnTo>
                  <a:pt x="41833" y="47104"/>
                </a:lnTo>
                <a:lnTo>
                  <a:pt x="44792" y="45008"/>
                </a:lnTo>
                <a:lnTo>
                  <a:pt x="47777" y="47028"/>
                </a:lnTo>
                <a:lnTo>
                  <a:pt x="46964" y="43103"/>
                </a:lnTo>
                <a:lnTo>
                  <a:pt x="49542" y="40424"/>
                </a:lnTo>
                <a:close/>
              </a:path>
              <a:path w="297180" h="90170">
                <a:moveTo>
                  <a:pt x="49542" y="22199"/>
                </a:moveTo>
                <a:lnTo>
                  <a:pt x="46088" y="21894"/>
                </a:lnTo>
                <a:lnTo>
                  <a:pt x="44678" y="18224"/>
                </a:lnTo>
                <a:lnTo>
                  <a:pt x="43370" y="21932"/>
                </a:lnTo>
                <a:lnTo>
                  <a:pt x="39916" y="22352"/>
                </a:lnTo>
                <a:lnTo>
                  <a:pt x="42570" y="24968"/>
                </a:lnTo>
                <a:lnTo>
                  <a:pt x="41833" y="28879"/>
                </a:lnTo>
                <a:lnTo>
                  <a:pt x="44792" y="26784"/>
                </a:lnTo>
                <a:lnTo>
                  <a:pt x="47777" y="28803"/>
                </a:lnTo>
                <a:lnTo>
                  <a:pt x="46964" y="24879"/>
                </a:lnTo>
                <a:lnTo>
                  <a:pt x="49542" y="22199"/>
                </a:lnTo>
                <a:close/>
              </a:path>
              <a:path w="297180" h="90170">
                <a:moveTo>
                  <a:pt x="49542" y="3987"/>
                </a:moveTo>
                <a:lnTo>
                  <a:pt x="46088" y="3683"/>
                </a:lnTo>
                <a:lnTo>
                  <a:pt x="44678" y="12"/>
                </a:lnTo>
                <a:lnTo>
                  <a:pt x="43370" y="3721"/>
                </a:lnTo>
                <a:lnTo>
                  <a:pt x="39916" y="4140"/>
                </a:lnTo>
                <a:lnTo>
                  <a:pt x="42570" y="6756"/>
                </a:lnTo>
                <a:lnTo>
                  <a:pt x="41833" y="10668"/>
                </a:lnTo>
                <a:lnTo>
                  <a:pt x="44792" y="8572"/>
                </a:lnTo>
                <a:lnTo>
                  <a:pt x="47777" y="10591"/>
                </a:lnTo>
                <a:lnTo>
                  <a:pt x="46964" y="6667"/>
                </a:lnTo>
                <a:lnTo>
                  <a:pt x="49542" y="3987"/>
                </a:lnTo>
                <a:close/>
              </a:path>
              <a:path w="297180" h="90170">
                <a:moveTo>
                  <a:pt x="58940" y="68186"/>
                </a:moveTo>
                <a:lnTo>
                  <a:pt x="55473" y="67881"/>
                </a:lnTo>
                <a:lnTo>
                  <a:pt x="54076" y="64211"/>
                </a:lnTo>
                <a:lnTo>
                  <a:pt x="52755" y="67919"/>
                </a:lnTo>
                <a:lnTo>
                  <a:pt x="49314" y="68338"/>
                </a:lnTo>
                <a:lnTo>
                  <a:pt x="51955" y="70942"/>
                </a:lnTo>
                <a:lnTo>
                  <a:pt x="51219" y="74866"/>
                </a:lnTo>
                <a:lnTo>
                  <a:pt x="54178" y="72771"/>
                </a:lnTo>
                <a:lnTo>
                  <a:pt x="57175" y="74790"/>
                </a:lnTo>
                <a:lnTo>
                  <a:pt x="56362" y="70866"/>
                </a:lnTo>
                <a:lnTo>
                  <a:pt x="58940" y="68186"/>
                </a:lnTo>
                <a:close/>
              </a:path>
              <a:path w="297180" h="90170">
                <a:moveTo>
                  <a:pt x="58940" y="49961"/>
                </a:moveTo>
                <a:lnTo>
                  <a:pt x="55473" y="49657"/>
                </a:lnTo>
                <a:lnTo>
                  <a:pt x="54076" y="45986"/>
                </a:lnTo>
                <a:lnTo>
                  <a:pt x="52755" y="49695"/>
                </a:lnTo>
                <a:lnTo>
                  <a:pt x="49314" y="50114"/>
                </a:lnTo>
                <a:lnTo>
                  <a:pt x="51955" y="52730"/>
                </a:lnTo>
                <a:lnTo>
                  <a:pt x="51219" y="56642"/>
                </a:lnTo>
                <a:lnTo>
                  <a:pt x="54178" y="54546"/>
                </a:lnTo>
                <a:lnTo>
                  <a:pt x="57175" y="56565"/>
                </a:lnTo>
                <a:lnTo>
                  <a:pt x="56362" y="52641"/>
                </a:lnTo>
                <a:lnTo>
                  <a:pt x="58940" y="49961"/>
                </a:lnTo>
                <a:close/>
              </a:path>
              <a:path w="297180" h="90170">
                <a:moveTo>
                  <a:pt x="58940" y="31750"/>
                </a:moveTo>
                <a:lnTo>
                  <a:pt x="55473" y="31445"/>
                </a:lnTo>
                <a:lnTo>
                  <a:pt x="54076" y="27774"/>
                </a:lnTo>
                <a:lnTo>
                  <a:pt x="52755" y="31483"/>
                </a:lnTo>
                <a:lnTo>
                  <a:pt x="49314" y="31902"/>
                </a:lnTo>
                <a:lnTo>
                  <a:pt x="51955" y="34518"/>
                </a:lnTo>
                <a:lnTo>
                  <a:pt x="51219" y="38430"/>
                </a:lnTo>
                <a:lnTo>
                  <a:pt x="54178" y="36334"/>
                </a:lnTo>
                <a:lnTo>
                  <a:pt x="57175" y="38354"/>
                </a:lnTo>
                <a:lnTo>
                  <a:pt x="56362" y="34429"/>
                </a:lnTo>
                <a:lnTo>
                  <a:pt x="58940" y="31750"/>
                </a:lnTo>
                <a:close/>
              </a:path>
              <a:path w="297180" h="90170">
                <a:moveTo>
                  <a:pt x="58940" y="13525"/>
                </a:moveTo>
                <a:lnTo>
                  <a:pt x="55473" y="13220"/>
                </a:lnTo>
                <a:lnTo>
                  <a:pt x="54076" y="9537"/>
                </a:lnTo>
                <a:lnTo>
                  <a:pt x="52755" y="13258"/>
                </a:lnTo>
                <a:lnTo>
                  <a:pt x="49314" y="13677"/>
                </a:lnTo>
                <a:lnTo>
                  <a:pt x="51955" y="16281"/>
                </a:lnTo>
                <a:lnTo>
                  <a:pt x="51219" y="20205"/>
                </a:lnTo>
                <a:lnTo>
                  <a:pt x="54178" y="18110"/>
                </a:lnTo>
                <a:lnTo>
                  <a:pt x="57175" y="20129"/>
                </a:lnTo>
                <a:lnTo>
                  <a:pt x="56362" y="16205"/>
                </a:lnTo>
                <a:lnTo>
                  <a:pt x="58940" y="13525"/>
                </a:lnTo>
                <a:close/>
              </a:path>
              <a:path w="297180" h="90170">
                <a:moveTo>
                  <a:pt x="69113" y="58635"/>
                </a:moveTo>
                <a:lnTo>
                  <a:pt x="65659" y="58331"/>
                </a:lnTo>
                <a:lnTo>
                  <a:pt x="64249" y="54660"/>
                </a:lnTo>
                <a:lnTo>
                  <a:pt x="62928" y="58369"/>
                </a:lnTo>
                <a:lnTo>
                  <a:pt x="59486" y="58788"/>
                </a:lnTo>
                <a:lnTo>
                  <a:pt x="62128" y="61391"/>
                </a:lnTo>
                <a:lnTo>
                  <a:pt x="61391" y="65316"/>
                </a:lnTo>
                <a:lnTo>
                  <a:pt x="64350" y="63220"/>
                </a:lnTo>
                <a:lnTo>
                  <a:pt x="67348" y="65239"/>
                </a:lnTo>
                <a:lnTo>
                  <a:pt x="66535" y="61315"/>
                </a:lnTo>
                <a:lnTo>
                  <a:pt x="69113" y="58635"/>
                </a:lnTo>
                <a:close/>
              </a:path>
              <a:path w="297180" h="90170">
                <a:moveTo>
                  <a:pt x="69113" y="40424"/>
                </a:moveTo>
                <a:lnTo>
                  <a:pt x="65659" y="40119"/>
                </a:lnTo>
                <a:lnTo>
                  <a:pt x="64249" y="36449"/>
                </a:lnTo>
                <a:lnTo>
                  <a:pt x="62928" y="40157"/>
                </a:lnTo>
                <a:lnTo>
                  <a:pt x="59486" y="40576"/>
                </a:lnTo>
                <a:lnTo>
                  <a:pt x="62128" y="43180"/>
                </a:lnTo>
                <a:lnTo>
                  <a:pt x="61391" y="47104"/>
                </a:lnTo>
                <a:lnTo>
                  <a:pt x="64350" y="45008"/>
                </a:lnTo>
                <a:lnTo>
                  <a:pt x="67348" y="47028"/>
                </a:lnTo>
                <a:lnTo>
                  <a:pt x="66535" y="43103"/>
                </a:lnTo>
                <a:lnTo>
                  <a:pt x="69113" y="40424"/>
                </a:lnTo>
                <a:close/>
              </a:path>
              <a:path w="297180" h="90170">
                <a:moveTo>
                  <a:pt x="69113" y="22199"/>
                </a:moveTo>
                <a:lnTo>
                  <a:pt x="65659" y="21894"/>
                </a:lnTo>
                <a:lnTo>
                  <a:pt x="64249" y="18224"/>
                </a:lnTo>
                <a:lnTo>
                  <a:pt x="62928" y="21932"/>
                </a:lnTo>
                <a:lnTo>
                  <a:pt x="59486" y="22352"/>
                </a:lnTo>
                <a:lnTo>
                  <a:pt x="62128" y="24968"/>
                </a:lnTo>
                <a:lnTo>
                  <a:pt x="61391" y="28879"/>
                </a:lnTo>
                <a:lnTo>
                  <a:pt x="64350" y="26784"/>
                </a:lnTo>
                <a:lnTo>
                  <a:pt x="67348" y="28803"/>
                </a:lnTo>
                <a:lnTo>
                  <a:pt x="66535" y="24879"/>
                </a:lnTo>
                <a:lnTo>
                  <a:pt x="69113" y="22199"/>
                </a:lnTo>
                <a:close/>
              </a:path>
              <a:path w="297180" h="90170">
                <a:moveTo>
                  <a:pt x="69113" y="3987"/>
                </a:moveTo>
                <a:lnTo>
                  <a:pt x="65659" y="3683"/>
                </a:lnTo>
                <a:lnTo>
                  <a:pt x="64249" y="12"/>
                </a:lnTo>
                <a:lnTo>
                  <a:pt x="62928" y="3721"/>
                </a:lnTo>
                <a:lnTo>
                  <a:pt x="59486" y="4140"/>
                </a:lnTo>
                <a:lnTo>
                  <a:pt x="62128" y="6756"/>
                </a:lnTo>
                <a:lnTo>
                  <a:pt x="61391" y="10668"/>
                </a:lnTo>
                <a:lnTo>
                  <a:pt x="64350" y="8572"/>
                </a:lnTo>
                <a:lnTo>
                  <a:pt x="67348" y="10591"/>
                </a:lnTo>
                <a:lnTo>
                  <a:pt x="66535" y="6667"/>
                </a:lnTo>
                <a:lnTo>
                  <a:pt x="69113" y="3987"/>
                </a:lnTo>
                <a:close/>
              </a:path>
              <a:path w="297180" h="90170">
                <a:moveTo>
                  <a:pt x="79286" y="68186"/>
                </a:moveTo>
                <a:lnTo>
                  <a:pt x="75831" y="67881"/>
                </a:lnTo>
                <a:lnTo>
                  <a:pt x="74422" y="64211"/>
                </a:lnTo>
                <a:lnTo>
                  <a:pt x="73101" y="67919"/>
                </a:lnTo>
                <a:lnTo>
                  <a:pt x="69659" y="68338"/>
                </a:lnTo>
                <a:lnTo>
                  <a:pt x="72313" y="70942"/>
                </a:lnTo>
                <a:lnTo>
                  <a:pt x="71564" y="74866"/>
                </a:lnTo>
                <a:lnTo>
                  <a:pt x="74536" y="72771"/>
                </a:lnTo>
                <a:lnTo>
                  <a:pt x="77520" y="74790"/>
                </a:lnTo>
                <a:lnTo>
                  <a:pt x="76708" y="70866"/>
                </a:lnTo>
                <a:lnTo>
                  <a:pt x="79286" y="68186"/>
                </a:lnTo>
                <a:close/>
              </a:path>
              <a:path w="297180" h="90170">
                <a:moveTo>
                  <a:pt x="79286" y="49961"/>
                </a:moveTo>
                <a:lnTo>
                  <a:pt x="75831" y="49657"/>
                </a:lnTo>
                <a:lnTo>
                  <a:pt x="74422" y="45986"/>
                </a:lnTo>
                <a:lnTo>
                  <a:pt x="73101" y="49695"/>
                </a:lnTo>
                <a:lnTo>
                  <a:pt x="69659" y="50114"/>
                </a:lnTo>
                <a:lnTo>
                  <a:pt x="72313" y="52730"/>
                </a:lnTo>
                <a:lnTo>
                  <a:pt x="71564" y="56642"/>
                </a:lnTo>
                <a:lnTo>
                  <a:pt x="74536" y="54546"/>
                </a:lnTo>
                <a:lnTo>
                  <a:pt x="77520" y="56565"/>
                </a:lnTo>
                <a:lnTo>
                  <a:pt x="76708" y="52641"/>
                </a:lnTo>
                <a:lnTo>
                  <a:pt x="79286" y="49961"/>
                </a:lnTo>
                <a:close/>
              </a:path>
              <a:path w="297180" h="90170">
                <a:moveTo>
                  <a:pt x="79286" y="31750"/>
                </a:moveTo>
                <a:lnTo>
                  <a:pt x="75831" y="31445"/>
                </a:lnTo>
                <a:lnTo>
                  <a:pt x="74422" y="27774"/>
                </a:lnTo>
                <a:lnTo>
                  <a:pt x="73101" y="31483"/>
                </a:lnTo>
                <a:lnTo>
                  <a:pt x="69659" y="31902"/>
                </a:lnTo>
                <a:lnTo>
                  <a:pt x="72313" y="34518"/>
                </a:lnTo>
                <a:lnTo>
                  <a:pt x="71564" y="38430"/>
                </a:lnTo>
                <a:lnTo>
                  <a:pt x="74536" y="36334"/>
                </a:lnTo>
                <a:lnTo>
                  <a:pt x="77520" y="38354"/>
                </a:lnTo>
                <a:lnTo>
                  <a:pt x="76708" y="34429"/>
                </a:lnTo>
                <a:lnTo>
                  <a:pt x="79286" y="31750"/>
                </a:lnTo>
                <a:close/>
              </a:path>
              <a:path w="297180" h="90170">
                <a:moveTo>
                  <a:pt x="79286" y="13525"/>
                </a:moveTo>
                <a:lnTo>
                  <a:pt x="75831" y="13220"/>
                </a:lnTo>
                <a:lnTo>
                  <a:pt x="74422" y="9537"/>
                </a:lnTo>
                <a:lnTo>
                  <a:pt x="73101" y="13258"/>
                </a:lnTo>
                <a:lnTo>
                  <a:pt x="69659" y="13677"/>
                </a:lnTo>
                <a:lnTo>
                  <a:pt x="72313" y="16281"/>
                </a:lnTo>
                <a:lnTo>
                  <a:pt x="71564" y="20205"/>
                </a:lnTo>
                <a:lnTo>
                  <a:pt x="74536" y="18110"/>
                </a:lnTo>
                <a:lnTo>
                  <a:pt x="77520" y="20129"/>
                </a:lnTo>
                <a:lnTo>
                  <a:pt x="76708" y="16205"/>
                </a:lnTo>
                <a:lnTo>
                  <a:pt x="79286" y="13525"/>
                </a:lnTo>
                <a:close/>
              </a:path>
              <a:path w="297180" h="90170">
                <a:moveTo>
                  <a:pt x="88671" y="58635"/>
                </a:moveTo>
                <a:lnTo>
                  <a:pt x="85204" y="58331"/>
                </a:lnTo>
                <a:lnTo>
                  <a:pt x="83807" y="54660"/>
                </a:lnTo>
                <a:lnTo>
                  <a:pt x="82486" y="58369"/>
                </a:lnTo>
                <a:lnTo>
                  <a:pt x="79032" y="58788"/>
                </a:lnTo>
                <a:lnTo>
                  <a:pt x="81686" y="61391"/>
                </a:lnTo>
                <a:lnTo>
                  <a:pt x="80949" y="65316"/>
                </a:lnTo>
                <a:lnTo>
                  <a:pt x="83908" y="63220"/>
                </a:lnTo>
                <a:lnTo>
                  <a:pt x="86893" y="65239"/>
                </a:lnTo>
                <a:lnTo>
                  <a:pt x="86093" y="61315"/>
                </a:lnTo>
                <a:lnTo>
                  <a:pt x="88671" y="58635"/>
                </a:lnTo>
                <a:close/>
              </a:path>
              <a:path w="297180" h="90170">
                <a:moveTo>
                  <a:pt x="88671" y="40424"/>
                </a:moveTo>
                <a:lnTo>
                  <a:pt x="85204" y="40119"/>
                </a:lnTo>
                <a:lnTo>
                  <a:pt x="83807" y="36449"/>
                </a:lnTo>
                <a:lnTo>
                  <a:pt x="82486" y="40157"/>
                </a:lnTo>
                <a:lnTo>
                  <a:pt x="79032" y="40576"/>
                </a:lnTo>
                <a:lnTo>
                  <a:pt x="81686" y="43180"/>
                </a:lnTo>
                <a:lnTo>
                  <a:pt x="80949" y="47104"/>
                </a:lnTo>
                <a:lnTo>
                  <a:pt x="83908" y="45008"/>
                </a:lnTo>
                <a:lnTo>
                  <a:pt x="86893" y="47028"/>
                </a:lnTo>
                <a:lnTo>
                  <a:pt x="86093" y="43103"/>
                </a:lnTo>
                <a:lnTo>
                  <a:pt x="88671" y="40424"/>
                </a:lnTo>
                <a:close/>
              </a:path>
              <a:path w="297180" h="90170">
                <a:moveTo>
                  <a:pt x="88671" y="22199"/>
                </a:moveTo>
                <a:lnTo>
                  <a:pt x="85204" y="21894"/>
                </a:lnTo>
                <a:lnTo>
                  <a:pt x="83807" y="18224"/>
                </a:lnTo>
                <a:lnTo>
                  <a:pt x="82486" y="21932"/>
                </a:lnTo>
                <a:lnTo>
                  <a:pt x="79032" y="22352"/>
                </a:lnTo>
                <a:lnTo>
                  <a:pt x="81686" y="24968"/>
                </a:lnTo>
                <a:lnTo>
                  <a:pt x="80949" y="28879"/>
                </a:lnTo>
                <a:lnTo>
                  <a:pt x="83908" y="26784"/>
                </a:lnTo>
                <a:lnTo>
                  <a:pt x="86893" y="28803"/>
                </a:lnTo>
                <a:lnTo>
                  <a:pt x="86093" y="24879"/>
                </a:lnTo>
                <a:lnTo>
                  <a:pt x="88671" y="22199"/>
                </a:lnTo>
                <a:close/>
              </a:path>
              <a:path w="297180" h="90170">
                <a:moveTo>
                  <a:pt x="88671" y="3987"/>
                </a:moveTo>
                <a:lnTo>
                  <a:pt x="85204" y="3683"/>
                </a:lnTo>
                <a:lnTo>
                  <a:pt x="83807" y="12"/>
                </a:lnTo>
                <a:lnTo>
                  <a:pt x="82486" y="3721"/>
                </a:lnTo>
                <a:lnTo>
                  <a:pt x="79032" y="4140"/>
                </a:lnTo>
                <a:lnTo>
                  <a:pt x="81686" y="6756"/>
                </a:lnTo>
                <a:lnTo>
                  <a:pt x="80949" y="10668"/>
                </a:lnTo>
                <a:lnTo>
                  <a:pt x="83908" y="8572"/>
                </a:lnTo>
                <a:lnTo>
                  <a:pt x="86893" y="10591"/>
                </a:lnTo>
                <a:lnTo>
                  <a:pt x="86093" y="6667"/>
                </a:lnTo>
                <a:lnTo>
                  <a:pt x="88671" y="3987"/>
                </a:lnTo>
                <a:close/>
              </a:path>
              <a:path w="297180" h="90170">
                <a:moveTo>
                  <a:pt x="98844" y="68186"/>
                </a:moveTo>
                <a:lnTo>
                  <a:pt x="95377" y="67881"/>
                </a:lnTo>
                <a:lnTo>
                  <a:pt x="93980" y="64211"/>
                </a:lnTo>
                <a:lnTo>
                  <a:pt x="92659" y="67919"/>
                </a:lnTo>
                <a:lnTo>
                  <a:pt x="89204" y="68338"/>
                </a:lnTo>
                <a:lnTo>
                  <a:pt x="91859" y="70942"/>
                </a:lnTo>
                <a:lnTo>
                  <a:pt x="91122" y="74866"/>
                </a:lnTo>
                <a:lnTo>
                  <a:pt x="94081" y="72771"/>
                </a:lnTo>
                <a:lnTo>
                  <a:pt x="97066" y="74790"/>
                </a:lnTo>
                <a:lnTo>
                  <a:pt x="96266" y="70866"/>
                </a:lnTo>
                <a:lnTo>
                  <a:pt x="98844" y="68186"/>
                </a:lnTo>
                <a:close/>
              </a:path>
              <a:path w="297180" h="90170">
                <a:moveTo>
                  <a:pt x="98844" y="49961"/>
                </a:moveTo>
                <a:lnTo>
                  <a:pt x="95377" y="49657"/>
                </a:lnTo>
                <a:lnTo>
                  <a:pt x="93980" y="45986"/>
                </a:lnTo>
                <a:lnTo>
                  <a:pt x="92659" y="49695"/>
                </a:lnTo>
                <a:lnTo>
                  <a:pt x="89204" y="50114"/>
                </a:lnTo>
                <a:lnTo>
                  <a:pt x="91859" y="52730"/>
                </a:lnTo>
                <a:lnTo>
                  <a:pt x="91122" y="56642"/>
                </a:lnTo>
                <a:lnTo>
                  <a:pt x="94081" y="54546"/>
                </a:lnTo>
                <a:lnTo>
                  <a:pt x="97066" y="56565"/>
                </a:lnTo>
                <a:lnTo>
                  <a:pt x="96266" y="52641"/>
                </a:lnTo>
                <a:lnTo>
                  <a:pt x="98844" y="49961"/>
                </a:lnTo>
                <a:close/>
              </a:path>
              <a:path w="297180" h="90170">
                <a:moveTo>
                  <a:pt x="98844" y="31750"/>
                </a:moveTo>
                <a:lnTo>
                  <a:pt x="95377" y="31445"/>
                </a:lnTo>
                <a:lnTo>
                  <a:pt x="93980" y="27774"/>
                </a:lnTo>
                <a:lnTo>
                  <a:pt x="92659" y="31483"/>
                </a:lnTo>
                <a:lnTo>
                  <a:pt x="89204" y="31902"/>
                </a:lnTo>
                <a:lnTo>
                  <a:pt x="91859" y="34518"/>
                </a:lnTo>
                <a:lnTo>
                  <a:pt x="91122" y="38430"/>
                </a:lnTo>
                <a:lnTo>
                  <a:pt x="94081" y="36334"/>
                </a:lnTo>
                <a:lnTo>
                  <a:pt x="97066" y="38354"/>
                </a:lnTo>
                <a:lnTo>
                  <a:pt x="96266" y="34429"/>
                </a:lnTo>
                <a:lnTo>
                  <a:pt x="98844" y="31750"/>
                </a:lnTo>
                <a:close/>
              </a:path>
              <a:path w="297180" h="90170">
                <a:moveTo>
                  <a:pt x="98844" y="13525"/>
                </a:moveTo>
                <a:lnTo>
                  <a:pt x="95377" y="13220"/>
                </a:lnTo>
                <a:lnTo>
                  <a:pt x="93980" y="9537"/>
                </a:lnTo>
                <a:lnTo>
                  <a:pt x="92659" y="13258"/>
                </a:lnTo>
                <a:lnTo>
                  <a:pt x="89204" y="13677"/>
                </a:lnTo>
                <a:lnTo>
                  <a:pt x="91859" y="16281"/>
                </a:lnTo>
                <a:lnTo>
                  <a:pt x="91122" y="20205"/>
                </a:lnTo>
                <a:lnTo>
                  <a:pt x="94081" y="18110"/>
                </a:lnTo>
                <a:lnTo>
                  <a:pt x="97066" y="20129"/>
                </a:lnTo>
                <a:lnTo>
                  <a:pt x="96266" y="16205"/>
                </a:lnTo>
                <a:lnTo>
                  <a:pt x="98844" y="13525"/>
                </a:lnTo>
                <a:close/>
              </a:path>
              <a:path w="297180" h="90170">
                <a:moveTo>
                  <a:pt x="109016" y="58635"/>
                </a:moveTo>
                <a:lnTo>
                  <a:pt x="105549" y="58331"/>
                </a:lnTo>
                <a:lnTo>
                  <a:pt x="104152" y="54660"/>
                </a:lnTo>
                <a:lnTo>
                  <a:pt x="102831" y="58369"/>
                </a:lnTo>
                <a:lnTo>
                  <a:pt x="99377" y="58788"/>
                </a:lnTo>
                <a:lnTo>
                  <a:pt x="102031" y="61391"/>
                </a:lnTo>
                <a:lnTo>
                  <a:pt x="101295" y="65316"/>
                </a:lnTo>
                <a:lnTo>
                  <a:pt x="104254" y="63220"/>
                </a:lnTo>
                <a:lnTo>
                  <a:pt x="107251" y="65239"/>
                </a:lnTo>
                <a:lnTo>
                  <a:pt x="106438" y="61315"/>
                </a:lnTo>
                <a:lnTo>
                  <a:pt x="109016" y="58635"/>
                </a:lnTo>
                <a:close/>
              </a:path>
              <a:path w="297180" h="90170">
                <a:moveTo>
                  <a:pt x="109016" y="40424"/>
                </a:moveTo>
                <a:lnTo>
                  <a:pt x="105549" y="40119"/>
                </a:lnTo>
                <a:lnTo>
                  <a:pt x="104152" y="36449"/>
                </a:lnTo>
                <a:lnTo>
                  <a:pt x="102831" y="40157"/>
                </a:lnTo>
                <a:lnTo>
                  <a:pt x="99377" y="40576"/>
                </a:lnTo>
                <a:lnTo>
                  <a:pt x="102031" y="43180"/>
                </a:lnTo>
                <a:lnTo>
                  <a:pt x="101295" y="47104"/>
                </a:lnTo>
                <a:lnTo>
                  <a:pt x="104254" y="45008"/>
                </a:lnTo>
                <a:lnTo>
                  <a:pt x="107251" y="47028"/>
                </a:lnTo>
                <a:lnTo>
                  <a:pt x="106438" y="43103"/>
                </a:lnTo>
                <a:lnTo>
                  <a:pt x="109016" y="40424"/>
                </a:lnTo>
                <a:close/>
              </a:path>
              <a:path w="297180" h="90170">
                <a:moveTo>
                  <a:pt x="109016" y="22199"/>
                </a:moveTo>
                <a:lnTo>
                  <a:pt x="105549" y="21894"/>
                </a:lnTo>
                <a:lnTo>
                  <a:pt x="104152" y="18224"/>
                </a:lnTo>
                <a:lnTo>
                  <a:pt x="102831" y="21932"/>
                </a:lnTo>
                <a:lnTo>
                  <a:pt x="99377" y="22352"/>
                </a:lnTo>
                <a:lnTo>
                  <a:pt x="102031" y="24968"/>
                </a:lnTo>
                <a:lnTo>
                  <a:pt x="101295" y="28879"/>
                </a:lnTo>
                <a:lnTo>
                  <a:pt x="104254" y="26784"/>
                </a:lnTo>
                <a:lnTo>
                  <a:pt x="107251" y="28803"/>
                </a:lnTo>
                <a:lnTo>
                  <a:pt x="106438" y="24879"/>
                </a:lnTo>
                <a:lnTo>
                  <a:pt x="109016" y="22199"/>
                </a:lnTo>
                <a:close/>
              </a:path>
              <a:path w="297180" h="90170">
                <a:moveTo>
                  <a:pt x="109016" y="3987"/>
                </a:moveTo>
                <a:lnTo>
                  <a:pt x="105549" y="3683"/>
                </a:lnTo>
                <a:lnTo>
                  <a:pt x="104152" y="12"/>
                </a:lnTo>
                <a:lnTo>
                  <a:pt x="102831" y="3721"/>
                </a:lnTo>
                <a:lnTo>
                  <a:pt x="99377" y="4140"/>
                </a:lnTo>
                <a:lnTo>
                  <a:pt x="102031" y="6756"/>
                </a:lnTo>
                <a:lnTo>
                  <a:pt x="101295" y="10668"/>
                </a:lnTo>
                <a:lnTo>
                  <a:pt x="104254" y="8572"/>
                </a:lnTo>
                <a:lnTo>
                  <a:pt x="107251" y="10591"/>
                </a:lnTo>
                <a:lnTo>
                  <a:pt x="106438" y="6667"/>
                </a:lnTo>
                <a:lnTo>
                  <a:pt x="109016" y="3987"/>
                </a:lnTo>
                <a:close/>
              </a:path>
              <a:path w="297180" h="90170">
                <a:moveTo>
                  <a:pt x="296595" y="76835"/>
                </a:moveTo>
                <a:lnTo>
                  <a:pt x="117703" y="76835"/>
                </a:lnTo>
                <a:lnTo>
                  <a:pt x="117703" y="89636"/>
                </a:lnTo>
                <a:lnTo>
                  <a:pt x="296595" y="89636"/>
                </a:lnTo>
                <a:lnTo>
                  <a:pt x="296595" y="76835"/>
                </a:lnTo>
                <a:close/>
              </a:path>
              <a:path w="297180" h="90170">
                <a:moveTo>
                  <a:pt x="296595" y="51219"/>
                </a:moveTo>
                <a:lnTo>
                  <a:pt x="117703" y="51219"/>
                </a:lnTo>
                <a:lnTo>
                  <a:pt x="117703" y="64020"/>
                </a:lnTo>
                <a:lnTo>
                  <a:pt x="296595" y="64020"/>
                </a:lnTo>
                <a:lnTo>
                  <a:pt x="296595" y="51219"/>
                </a:lnTo>
                <a:close/>
              </a:path>
              <a:path w="297180" h="90170">
                <a:moveTo>
                  <a:pt x="296595" y="25603"/>
                </a:moveTo>
                <a:lnTo>
                  <a:pt x="117703" y="25603"/>
                </a:lnTo>
                <a:lnTo>
                  <a:pt x="117703" y="38404"/>
                </a:lnTo>
                <a:lnTo>
                  <a:pt x="296595" y="38404"/>
                </a:lnTo>
                <a:lnTo>
                  <a:pt x="296595" y="25603"/>
                </a:lnTo>
                <a:close/>
              </a:path>
              <a:path w="297180" h="90170">
                <a:moveTo>
                  <a:pt x="296595" y="0"/>
                </a:moveTo>
                <a:lnTo>
                  <a:pt x="117703" y="0"/>
                </a:lnTo>
                <a:lnTo>
                  <a:pt x="117703" y="12801"/>
                </a:lnTo>
                <a:lnTo>
                  <a:pt x="296595" y="12801"/>
                </a:lnTo>
                <a:lnTo>
                  <a:pt x="296595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7" name="Textbox 17">
            <a:extLst>
              <a:ext uri="{FF2B5EF4-FFF2-40B4-BE49-F238E27FC236}">
                <a16:creationId xmlns:a16="http://schemas.microsoft.com/office/drawing/2014/main" id="{3378B8FA-6AF9-433D-0EBB-68FFC6112D49}"/>
              </a:ext>
            </a:extLst>
          </xdr:cNvPr>
          <xdr:cNvSpPr txBox="1"/>
        </xdr:nvSpPr>
        <xdr:spPr>
          <a:xfrm>
            <a:off x="0" y="0"/>
            <a:ext cx="386715" cy="3867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u="dbl">
                <a:solidFill>
                  <a:srgbClr val="231F20"/>
                </a:solidFill>
                <a:uFill>
                  <a:solidFill>
                    <a:srgbClr val="FFFFFF"/>
                  </a:solidFill>
                </a:uFill>
                <a:latin typeface="Arial"/>
                <a:cs typeface="Arial"/>
              </a:rPr>
              <a:t>       </a:t>
            </a:r>
            <a:r>
              <a:rPr sz="1000" b="1" u="dbl" spc="90">
                <a:solidFill>
                  <a:srgbClr val="231F20"/>
                </a:solidFill>
                <a:uFill>
                  <a:solidFill>
                    <a:srgbClr val="FFFFFF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oneCellAnchor>
  <xdr:oneCellAnchor>
    <xdr:from>
      <xdr:col>0</xdr:col>
      <xdr:colOff>488589</xdr:colOff>
      <xdr:row>14</xdr:row>
      <xdr:rowOff>154091</xdr:rowOff>
    </xdr:from>
    <xdr:ext cx="6826884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375CE67D-38B3-4E0A-9774-1C27E6BCCF8F}"/>
            </a:ext>
          </a:extLst>
        </xdr:cNvPr>
        <xdr:cNvSpPr/>
      </xdr:nvSpPr>
      <xdr:spPr>
        <a:xfrm>
          <a:off x="488589" y="2501051"/>
          <a:ext cx="6826884" cy="0"/>
        </a:xfrm>
        <a:custGeom>
          <a:avLst/>
          <a:gdLst/>
          <a:ahLst/>
          <a:cxnLst/>
          <a:rect l="0" t="0" r="0" b="0"/>
          <a:pathLst>
            <a:path w="6826884">
              <a:moveTo>
                <a:pt x="0" y="0"/>
              </a:moveTo>
              <a:lnTo>
                <a:pt x="6826605" y="0"/>
              </a:lnTo>
            </a:path>
          </a:pathLst>
        </a:custGeom>
        <a:ln w="12700">
          <a:solidFill>
            <a:srgbClr val="C7C8CA"/>
          </a:solidFill>
        </a:ln>
      </xdr:spPr>
    </xdr:sp>
    <xdr:clientData/>
  </xdr:oneCellAnchor>
  <xdr:oneCellAnchor>
    <xdr:from>
      <xdr:col>0</xdr:col>
      <xdr:colOff>488589</xdr:colOff>
      <xdr:row>12</xdr:row>
      <xdr:rowOff>145655</xdr:rowOff>
    </xdr:from>
    <xdr:ext cx="6826884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14E2E79B-F9B2-45F1-BB86-6EA7C5622536}"/>
            </a:ext>
          </a:extLst>
        </xdr:cNvPr>
        <xdr:cNvSpPr/>
      </xdr:nvSpPr>
      <xdr:spPr>
        <a:xfrm>
          <a:off x="488589" y="2157335"/>
          <a:ext cx="6826884" cy="0"/>
        </a:xfrm>
        <a:custGeom>
          <a:avLst/>
          <a:gdLst/>
          <a:ahLst/>
          <a:cxnLst/>
          <a:rect l="0" t="0" r="0" b="0"/>
          <a:pathLst>
            <a:path w="6826884">
              <a:moveTo>
                <a:pt x="0" y="0"/>
              </a:moveTo>
              <a:lnTo>
                <a:pt x="6826605" y="0"/>
              </a:lnTo>
            </a:path>
          </a:pathLst>
        </a:custGeom>
        <a:ln w="12700">
          <a:solidFill>
            <a:srgbClr val="C7C8CA"/>
          </a:solidFill>
        </a:ln>
      </xdr:spPr>
    </xdr:sp>
    <xdr:clientData/>
  </xdr:oneCellAnchor>
  <xdr:oneCellAnchor>
    <xdr:from>
      <xdr:col>0</xdr:col>
      <xdr:colOff>488589</xdr:colOff>
      <xdr:row>15</xdr:row>
      <xdr:rowOff>1068793</xdr:rowOff>
    </xdr:from>
    <xdr:ext cx="6826884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3B24B19B-F03B-4546-A1E1-9044179644C7}"/>
            </a:ext>
          </a:extLst>
        </xdr:cNvPr>
        <xdr:cNvSpPr/>
      </xdr:nvSpPr>
      <xdr:spPr>
        <a:xfrm>
          <a:off x="488589" y="2684233"/>
          <a:ext cx="6826884" cy="0"/>
        </a:xfrm>
        <a:custGeom>
          <a:avLst/>
          <a:gdLst/>
          <a:ahLst/>
          <a:cxnLst/>
          <a:rect l="0" t="0" r="0" b="0"/>
          <a:pathLst>
            <a:path w="6826884">
              <a:moveTo>
                <a:pt x="0" y="0"/>
              </a:moveTo>
              <a:lnTo>
                <a:pt x="6826605" y="0"/>
              </a:lnTo>
            </a:path>
          </a:pathLst>
        </a:custGeom>
        <a:ln w="12700">
          <a:solidFill>
            <a:srgbClr val="C7C8CA"/>
          </a:solidFill>
        </a:ln>
      </xdr:spPr>
    </xdr:sp>
    <xdr:clientData/>
  </xdr:oneCellAnchor>
  <xdr:oneCellAnchor>
    <xdr:from>
      <xdr:col>3</xdr:col>
      <xdr:colOff>958510</xdr:colOff>
      <xdr:row>17</xdr:row>
      <xdr:rowOff>1777</xdr:rowOff>
    </xdr:from>
    <xdr:ext cx="3966202" cy="684022"/>
    <xdr:pic>
      <xdr:nvPicPr>
        <xdr:cNvPr id="21" name="image6.png">
          <a:extLst>
            <a:ext uri="{FF2B5EF4-FFF2-40B4-BE49-F238E27FC236}">
              <a16:creationId xmlns:a16="http://schemas.microsoft.com/office/drawing/2014/main" id="{C8B09E28-D314-4B62-A233-BF4EB95FC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6790" y="2851657"/>
          <a:ext cx="3966202" cy="684022"/>
        </a:xfrm>
        <a:prstGeom prst="rect">
          <a:avLst/>
        </a:prstGeom>
      </xdr:spPr>
    </xdr:pic>
    <xdr:clientData/>
  </xdr:oneCellAnchor>
  <xdr:oneCellAnchor>
    <xdr:from>
      <xdr:col>6</xdr:col>
      <xdr:colOff>1112387</xdr:colOff>
      <xdr:row>17</xdr:row>
      <xdr:rowOff>1777</xdr:rowOff>
    </xdr:from>
    <xdr:ext cx="1072515" cy="68453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973C4CD6-5A59-4264-808F-434561F566AD}"/>
            </a:ext>
          </a:extLst>
        </xdr:cNvPr>
        <xdr:cNvSpPr/>
      </xdr:nvSpPr>
      <xdr:spPr>
        <a:xfrm>
          <a:off x="4267067" y="2851657"/>
          <a:ext cx="1072515" cy="684530"/>
        </a:xfrm>
        <a:custGeom>
          <a:avLst/>
          <a:gdLst/>
          <a:ahLst/>
          <a:cxnLst/>
          <a:rect l="0" t="0" r="0" b="0"/>
          <a:pathLst>
            <a:path w="1072515" h="684530">
              <a:moveTo>
                <a:pt x="414072" y="0"/>
              </a:moveTo>
              <a:lnTo>
                <a:pt x="177881" y="0"/>
              </a:lnTo>
              <a:lnTo>
                <a:pt x="156289" y="19520"/>
              </a:lnTo>
              <a:lnTo>
                <a:pt x="121228" y="58506"/>
              </a:lnTo>
              <a:lnTo>
                <a:pt x="92217" y="97258"/>
              </a:lnTo>
              <a:lnTo>
                <a:pt x="66928" y="137568"/>
              </a:lnTo>
              <a:lnTo>
                <a:pt x="45465" y="179524"/>
              </a:lnTo>
              <a:lnTo>
                <a:pt x="27950" y="223169"/>
              </a:lnTo>
              <a:lnTo>
                <a:pt x="14478" y="268614"/>
              </a:lnTo>
              <a:lnTo>
                <a:pt x="5163" y="315922"/>
              </a:lnTo>
              <a:lnTo>
                <a:pt x="245" y="364561"/>
              </a:lnTo>
              <a:lnTo>
                <a:pt x="7" y="405762"/>
              </a:lnTo>
              <a:lnTo>
                <a:pt x="0" y="413049"/>
              </a:lnTo>
              <a:lnTo>
                <a:pt x="3998" y="458709"/>
              </a:lnTo>
              <a:lnTo>
                <a:pt x="4085" y="459699"/>
              </a:lnTo>
              <a:lnTo>
                <a:pt x="4134" y="460266"/>
              </a:lnTo>
              <a:lnTo>
                <a:pt x="12551" y="507306"/>
              </a:lnTo>
              <a:lnTo>
                <a:pt x="25024" y="553790"/>
              </a:lnTo>
              <a:lnTo>
                <a:pt x="41358" y="599704"/>
              </a:lnTo>
              <a:lnTo>
                <a:pt x="45347" y="612688"/>
              </a:lnTo>
              <a:lnTo>
                <a:pt x="45979" y="622535"/>
              </a:lnTo>
              <a:lnTo>
                <a:pt x="46103" y="624470"/>
              </a:lnTo>
              <a:lnTo>
                <a:pt x="43405" y="635222"/>
              </a:lnTo>
              <a:lnTo>
                <a:pt x="43299" y="635646"/>
              </a:lnTo>
              <a:lnTo>
                <a:pt x="36608" y="646808"/>
              </a:lnTo>
              <a:lnTo>
                <a:pt x="30010" y="655900"/>
              </a:lnTo>
              <a:lnTo>
                <a:pt x="23792" y="665280"/>
              </a:lnTo>
              <a:lnTo>
                <a:pt x="17800" y="674822"/>
              </a:lnTo>
              <a:lnTo>
                <a:pt x="12115" y="684022"/>
              </a:lnTo>
              <a:lnTo>
                <a:pt x="270795" y="684022"/>
              </a:lnTo>
              <a:lnTo>
                <a:pt x="272091" y="680730"/>
              </a:lnTo>
              <a:lnTo>
                <a:pt x="327883" y="598713"/>
              </a:lnTo>
              <a:lnTo>
                <a:pt x="327794" y="598040"/>
              </a:lnTo>
              <a:lnTo>
                <a:pt x="327324" y="597621"/>
              </a:lnTo>
              <a:lnTo>
                <a:pt x="301002" y="570972"/>
              </a:lnTo>
              <a:lnTo>
                <a:pt x="278868" y="541554"/>
              </a:lnTo>
              <a:lnTo>
                <a:pt x="261014" y="509835"/>
              </a:lnTo>
              <a:lnTo>
                <a:pt x="254594" y="493862"/>
              </a:lnTo>
              <a:lnTo>
                <a:pt x="149473" y="493862"/>
              </a:lnTo>
              <a:lnTo>
                <a:pt x="134214" y="493341"/>
              </a:lnTo>
              <a:lnTo>
                <a:pt x="121014" y="486643"/>
              </a:lnTo>
              <a:lnTo>
                <a:pt x="111702" y="475015"/>
              </a:lnTo>
              <a:lnTo>
                <a:pt x="108109" y="459699"/>
              </a:lnTo>
              <a:lnTo>
                <a:pt x="110431" y="447484"/>
              </a:lnTo>
              <a:lnTo>
                <a:pt x="116929" y="437125"/>
              </a:lnTo>
              <a:lnTo>
                <a:pt x="126619" y="429384"/>
              </a:lnTo>
              <a:lnTo>
                <a:pt x="138513" y="425028"/>
              </a:lnTo>
              <a:lnTo>
                <a:pt x="233064" y="407032"/>
              </a:lnTo>
              <a:lnTo>
                <a:pt x="233584" y="407032"/>
              </a:lnTo>
              <a:lnTo>
                <a:pt x="234093" y="406384"/>
              </a:lnTo>
              <a:lnTo>
                <a:pt x="234055" y="405762"/>
              </a:lnTo>
              <a:lnTo>
                <a:pt x="234200" y="373009"/>
              </a:lnTo>
              <a:lnTo>
                <a:pt x="234215" y="369569"/>
              </a:lnTo>
              <a:lnTo>
                <a:pt x="239121" y="333467"/>
              </a:lnTo>
              <a:lnTo>
                <a:pt x="248862" y="297927"/>
              </a:lnTo>
              <a:lnTo>
                <a:pt x="263532" y="263420"/>
              </a:lnTo>
              <a:lnTo>
                <a:pt x="263811" y="262874"/>
              </a:lnTo>
              <a:lnTo>
                <a:pt x="263633" y="262201"/>
              </a:lnTo>
              <a:lnTo>
                <a:pt x="181871" y="206575"/>
              </a:lnTo>
              <a:lnTo>
                <a:pt x="171451" y="195420"/>
              </a:lnTo>
              <a:lnTo>
                <a:pt x="166851" y="181350"/>
              </a:lnTo>
              <a:lnTo>
                <a:pt x="168489" y="166542"/>
              </a:lnTo>
              <a:lnTo>
                <a:pt x="176778" y="153172"/>
              </a:lnTo>
              <a:lnTo>
                <a:pt x="187061" y="146170"/>
              </a:lnTo>
              <a:lnTo>
                <a:pt x="198985" y="143442"/>
              </a:lnTo>
              <a:lnTo>
                <a:pt x="381817" y="143442"/>
              </a:lnTo>
              <a:lnTo>
                <a:pt x="391880" y="137797"/>
              </a:lnTo>
              <a:lnTo>
                <a:pt x="425482" y="124355"/>
              </a:lnTo>
              <a:lnTo>
                <a:pt x="426079" y="124178"/>
              </a:lnTo>
              <a:lnTo>
                <a:pt x="426422" y="123593"/>
              </a:lnTo>
              <a:lnTo>
                <a:pt x="407918" y="26349"/>
              </a:lnTo>
              <a:lnTo>
                <a:pt x="408441" y="11091"/>
              </a:lnTo>
              <a:lnTo>
                <a:pt x="414072" y="0"/>
              </a:lnTo>
              <a:close/>
            </a:path>
            <a:path w="1072515" h="684530">
              <a:moveTo>
                <a:pt x="386201" y="637664"/>
              </a:moveTo>
              <a:lnTo>
                <a:pt x="385143" y="637943"/>
              </a:lnTo>
              <a:lnTo>
                <a:pt x="385459" y="637943"/>
              </a:lnTo>
              <a:lnTo>
                <a:pt x="354118" y="684022"/>
              </a:lnTo>
              <a:lnTo>
                <a:pt x="533069" y="684022"/>
              </a:lnTo>
              <a:lnTo>
                <a:pt x="530067" y="668246"/>
              </a:lnTo>
              <a:lnTo>
                <a:pt x="529940" y="667649"/>
              </a:lnTo>
              <a:lnTo>
                <a:pt x="529455" y="667268"/>
              </a:lnTo>
              <a:lnTo>
                <a:pt x="493855" y="667268"/>
              </a:lnTo>
              <a:lnTo>
                <a:pt x="456662" y="662231"/>
              </a:lnTo>
              <a:lnTo>
                <a:pt x="421192" y="652539"/>
              </a:lnTo>
              <a:lnTo>
                <a:pt x="386747" y="637943"/>
              </a:lnTo>
              <a:lnTo>
                <a:pt x="386201" y="637664"/>
              </a:lnTo>
              <a:close/>
            </a:path>
            <a:path w="1072515" h="684530">
              <a:moveTo>
                <a:pt x="721618" y="573770"/>
              </a:moveTo>
              <a:lnTo>
                <a:pt x="720833" y="573770"/>
              </a:lnTo>
              <a:lnTo>
                <a:pt x="720427" y="574240"/>
              </a:lnTo>
              <a:lnTo>
                <a:pt x="693813" y="600474"/>
              </a:lnTo>
              <a:lnTo>
                <a:pt x="664444" y="622535"/>
              </a:lnTo>
              <a:lnTo>
                <a:pt x="632786" y="640334"/>
              </a:lnTo>
              <a:lnTo>
                <a:pt x="599307" y="653780"/>
              </a:lnTo>
              <a:lnTo>
                <a:pt x="598735" y="653971"/>
              </a:lnTo>
              <a:lnTo>
                <a:pt x="598380" y="654568"/>
              </a:lnTo>
              <a:lnTo>
                <a:pt x="603985" y="684022"/>
              </a:lnTo>
              <a:lnTo>
                <a:pt x="945694" y="684022"/>
              </a:lnTo>
              <a:lnTo>
                <a:pt x="950726" y="677064"/>
              </a:lnTo>
              <a:lnTo>
                <a:pt x="975977" y="635222"/>
              </a:lnTo>
              <a:lnTo>
                <a:pt x="825919" y="635222"/>
              </a:lnTo>
              <a:lnTo>
                <a:pt x="813596" y="633841"/>
              </a:lnTo>
              <a:lnTo>
                <a:pt x="802113" y="628507"/>
              </a:lnTo>
              <a:lnTo>
                <a:pt x="721618" y="573770"/>
              </a:lnTo>
              <a:close/>
            </a:path>
            <a:path w="1072515" h="684530">
              <a:moveTo>
                <a:pt x="1040062" y="284807"/>
              </a:moveTo>
              <a:lnTo>
                <a:pt x="875443" y="284807"/>
              </a:lnTo>
              <a:lnTo>
                <a:pt x="890696" y="285323"/>
              </a:lnTo>
              <a:lnTo>
                <a:pt x="903896" y="292022"/>
              </a:lnTo>
              <a:lnTo>
                <a:pt x="913207" y="303658"/>
              </a:lnTo>
              <a:lnTo>
                <a:pt x="916794" y="318983"/>
              </a:lnTo>
              <a:lnTo>
                <a:pt x="914473" y="331190"/>
              </a:lnTo>
              <a:lnTo>
                <a:pt x="907974" y="341546"/>
              </a:lnTo>
              <a:lnTo>
                <a:pt x="898285" y="349285"/>
              </a:lnTo>
              <a:lnTo>
                <a:pt x="886390" y="353641"/>
              </a:lnTo>
              <a:lnTo>
                <a:pt x="790709" y="371853"/>
              </a:lnTo>
              <a:lnTo>
                <a:pt x="790290" y="372386"/>
              </a:lnTo>
              <a:lnTo>
                <a:pt x="785170" y="445062"/>
              </a:lnTo>
              <a:lnTo>
                <a:pt x="760813" y="514868"/>
              </a:lnTo>
              <a:lnTo>
                <a:pt x="760533" y="515414"/>
              </a:lnTo>
              <a:lnTo>
                <a:pt x="760711" y="516087"/>
              </a:lnTo>
              <a:lnTo>
                <a:pt x="843033" y="572094"/>
              </a:lnTo>
              <a:lnTo>
                <a:pt x="853451" y="583255"/>
              </a:lnTo>
              <a:lnTo>
                <a:pt x="858047" y="597324"/>
              </a:lnTo>
              <a:lnTo>
                <a:pt x="856409" y="612129"/>
              </a:lnTo>
              <a:lnTo>
                <a:pt x="848125" y="625497"/>
              </a:lnTo>
              <a:lnTo>
                <a:pt x="837843" y="632493"/>
              </a:lnTo>
              <a:lnTo>
                <a:pt x="825919" y="635222"/>
              </a:lnTo>
              <a:lnTo>
                <a:pt x="975977" y="635222"/>
              </a:lnTo>
              <a:lnTo>
                <a:pt x="998774" y="590023"/>
              </a:lnTo>
              <a:lnTo>
                <a:pt x="1015450" y="547180"/>
              </a:lnTo>
              <a:lnTo>
                <a:pt x="1027859" y="503414"/>
              </a:lnTo>
              <a:lnTo>
                <a:pt x="1035884" y="458709"/>
              </a:lnTo>
              <a:lnTo>
                <a:pt x="1039410" y="413049"/>
              </a:lnTo>
              <a:lnTo>
                <a:pt x="1038038" y="353641"/>
              </a:lnTo>
              <a:lnTo>
                <a:pt x="1037273" y="318983"/>
              </a:lnTo>
              <a:lnTo>
                <a:pt x="1040020" y="285323"/>
              </a:lnTo>
              <a:lnTo>
                <a:pt x="1040062" y="284807"/>
              </a:lnTo>
              <a:close/>
            </a:path>
            <a:path w="1072515" h="684530">
              <a:moveTo>
                <a:pt x="246755" y="475358"/>
              </a:moveTo>
              <a:lnTo>
                <a:pt x="149473" y="493862"/>
              </a:lnTo>
              <a:lnTo>
                <a:pt x="254594" y="493862"/>
              </a:lnTo>
              <a:lnTo>
                <a:pt x="247530" y="476285"/>
              </a:lnTo>
              <a:lnTo>
                <a:pt x="247339" y="475701"/>
              </a:lnTo>
              <a:lnTo>
                <a:pt x="246755" y="475358"/>
              </a:lnTo>
              <a:close/>
            </a:path>
            <a:path w="1072515" h="684530">
              <a:moveTo>
                <a:pt x="1072012" y="43739"/>
              </a:moveTo>
              <a:lnTo>
                <a:pt x="720436" y="43739"/>
              </a:lnTo>
              <a:lnTo>
                <a:pt x="735240" y="45378"/>
              </a:lnTo>
              <a:lnTo>
                <a:pt x="748608" y="53667"/>
              </a:lnTo>
              <a:lnTo>
                <a:pt x="755610" y="63950"/>
              </a:lnTo>
              <a:lnTo>
                <a:pt x="758340" y="75875"/>
              </a:lnTo>
              <a:lnTo>
                <a:pt x="756959" y="88202"/>
              </a:lnTo>
              <a:lnTo>
                <a:pt x="751631" y="99692"/>
              </a:lnTo>
              <a:lnTo>
                <a:pt x="697326" y="179524"/>
              </a:lnTo>
              <a:lnTo>
                <a:pt x="696970" y="180019"/>
              </a:lnTo>
              <a:lnTo>
                <a:pt x="697059" y="180718"/>
              </a:lnTo>
              <a:lnTo>
                <a:pt x="745782" y="237215"/>
              </a:lnTo>
              <a:lnTo>
                <a:pt x="776967" y="302460"/>
              </a:lnTo>
              <a:lnTo>
                <a:pt x="777145" y="303057"/>
              </a:lnTo>
              <a:lnTo>
                <a:pt x="777742" y="303400"/>
              </a:lnTo>
              <a:lnTo>
                <a:pt x="875443" y="284807"/>
              </a:lnTo>
              <a:lnTo>
                <a:pt x="1040062" y="284807"/>
              </a:lnTo>
              <a:lnTo>
                <a:pt x="1041062" y="272563"/>
              </a:lnTo>
              <a:lnTo>
                <a:pt x="1049601" y="227110"/>
              </a:lnTo>
              <a:lnTo>
                <a:pt x="1062797" y="182495"/>
              </a:lnTo>
              <a:lnTo>
                <a:pt x="1072012" y="159725"/>
              </a:lnTo>
              <a:lnTo>
                <a:pt x="1072012" y="43739"/>
              </a:lnTo>
              <a:close/>
            </a:path>
            <a:path w="1072515" h="684530">
              <a:moveTo>
                <a:pt x="381817" y="143442"/>
              </a:moveTo>
              <a:lnTo>
                <a:pt x="198985" y="143442"/>
              </a:lnTo>
              <a:lnTo>
                <a:pt x="211313" y="144826"/>
              </a:lnTo>
              <a:lnTo>
                <a:pt x="222803" y="150162"/>
              </a:lnTo>
              <a:lnTo>
                <a:pt x="302825" y="204607"/>
              </a:lnTo>
              <a:lnTo>
                <a:pt x="303418" y="204607"/>
              </a:lnTo>
              <a:lnTo>
                <a:pt x="303918" y="204061"/>
              </a:lnTo>
              <a:lnTo>
                <a:pt x="330626" y="177739"/>
              </a:lnTo>
              <a:lnTo>
                <a:pt x="360104" y="155621"/>
              </a:lnTo>
              <a:lnTo>
                <a:pt x="381817" y="143442"/>
              </a:lnTo>
              <a:close/>
            </a:path>
            <a:path w="1072515" h="684530">
              <a:moveTo>
                <a:pt x="1072012" y="0"/>
              </a:moveTo>
              <a:lnTo>
                <a:pt x="469597" y="0"/>
              </a:lnTo>
              <a:lnTo>
                <a:pt x="472397" y="3508"/>
              </a:lnTo>
              <a:lnTo>
                <a:pt x="476752" y="15402"/>
              </a:lnTo>
              <a:lnTo>
                <a:pt x="494761" y="110017"/>
              </a:lnTo>
              <a:lnTo>
                <a:pt x="494875" y="110614"/>
              </a:lnTo>
              <a:lnTo>
                <a:pt x="495421" y="111020"/>
              </a:lnTo>
              <a:lnTo>
                <a:pt x="532190" y="111212"/>
              </a:lnTo>
              <a:lnTo>
                <a:pt x="568251" y="116170"/>
              </a:lnTo>
              <a:lnTo>
                <a:pt x="603742" y="125958"/>
              </a:lnTo>
              <a:lnTo>
                <a:pt x="638407" y="140764"/>
              </a:lnTo>
              <a:lnTo>
                <a:pt x="638753" y="140929"/>
              </a:lnTo>
              <a:lnTo>
                <a:pt x="639414" y="140764"/>
              </a:lnTo>
              <a:lnTo>
                <a:pt x="639769" y="140268"/>
              </a:lnTo>
              <a:lnTo>
                <a:pt x="695217" y="58747"/>
              </a:lnTo>
              <a:lnTo>
                <a:pt x="706371" y="48334"/>
              </a:lnTo>
              <a:lnTo>
                <a:pt x="720436" y="43739"/>
              </a:lnTo>
              <a:lnTo>
                <a:pt x="1072012" y="43739"/>
              </a:lnTo>
              <a:lnTo>
                <a:pt x="1072012" y="0"/>
              </a:lnTo>
              <a:close/>
            </a:path>
          </a:pathLst>
        </a:custGeom>
        <a:solidFill>
          <a:srgbClr val="D0D2D2">
            <a:alpha val="48999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2056130" cy="511175"/>
    <xdr:grpSp>
      <xdr:nvGrpSpPr>
        <xdr:cNvPr id="23" name="Group 23">
          <a:extLst>
            <a:ext uri="{FF2B5EF4-FFF2-40B4-BE49-F238E27FC236}">
              <a16:creationId xmlns:a16="http://schemas.microsoft.com/office/drawing/2014/main" id="{28CBEC07-CE25-43FC-ADA0-6BD7BE080B4C}"/>
            </a:ext>
          </a:extLst>
        </xdr:cNvPr>
        <xdr:cNvGrpSpPr/>
      </xdr:nvGrpSpPr>
      <xdr:grpSpPr>
        <a:xfrm>
          <a:off x="792480" y="0"/>
          <a:ext cx="2056130" cy="511175"/>
          <a:chOff x="0" y="0"/>
          <a:chExt cx="2056130" cy="511175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47DDE29C-5787-1E9E-FC7C-87E580B5B713}"/>
              </a:ext>
            </a:extLst>
          </xdr:cNvPr>
          <xdr:cNvSpPr/>
        </xdr:nvSpPr>
        <xdr:spPr>
          <a:xfrm>
            <a:off x="0" y="0"/>
            <a:ext cx="511175" cy="511175"/>
          </a:xfrm>
          <a:custGeom>
            <a:avLst/>
            <a:gdLst/>
            <a:ahLst/>
            <a:cxnLst/>
            <a:rect l="0" t="0" r="0" b="0"/>
            <a:pathLst>
              <a:path w="511175" h="511175">
                <a:moveTo>
                  <a:pt x="510971" y="0"/>
                </a:moveTo>
                <a:lnTo>
                  <a:pt x="0" y="0"/>
                </a:lnTo>
                <a:lnTo>
                  <a:pt x="0" y="510667"/>
                </a:lnTo>
                <a:lnTo>
                  <a:pt x="510971" y="510667"/>
                </a:lnTo>
                <a:lnTo>
                  <a:pt x="510971" y="0"/>
                </a:lnTo>
                <a:close/>
              </a:path>
            </a:pathLst>
          </a:custGeom>
          <a:solidFill>
            <a:srgbClr val="E52619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9B239321-1535-3AB1-3693-1B3120B2E251}"/>
              </a:ext>
            </a:extLst>
          </xdr:cNvPr>
          <xdr:cNvSpPr/>
        </xdr:nvSpPr>
        <xdr:spPr>
          <a:xfrm>
            <a:off x="510971" y="0"/>
            <a:ext cx="1544955" cy="511175"/>
          </a:xfrm>
          <a:custGeom>
            <a:avLst/>
            <a:gdLst/>
            <a:ahLst/>
            <a:cxnLst/>
            <a:rect l="0" t="0" r="0" b="0"/>
            <a:pathLst>
              <a:path w="1544955" h="511175">
                <a:moveTo>
                  <a:pt x="1544840" y="0"/>
                </a:moveTo>
                <a:lnTo>
                  <a:pt x="0" y="0"/>
                </a:lnTo>
                <a:lnTo>
                  <a:pt x="0" y="510667"/>
                </a:lnTo>
                <a:lnTo>
                  <a:pt x="1544840" y="510667"/>
                </a:lnTo>
                <a:lnTo>
                  <a:pt x="1544840" y="0"/>
                </a:lnTo>
                <a:close/>
              </a:path>
            </a:pathLst>
          </a:custGeom>
          <a:solidFill>
            <a:srgbClr val="231E21"/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930F6B71-2892-BC97-394C-88D0DEB0BBC8}"/>
              </a:ext>
            </a:extLst>
          </xdr:cNvPr>
          <xdr:cNvSpPr/>
        </xdr:nvSpPr>
        <xdr:spPr>
          <a:xfrm>
            <a:off x="65087" y="75513"/>
            <a:ext cx="1913255" cy="362585"/>
          </a:xfrm>
          <a:custGeom>
            <a:avLst/>
            <a:gdLst/>
            <a:ahLst/>
            <a:cxnLst/>
            <a:rect l="0" t="0" r="0" b="0"/>
            <a:pathLst>
              <a:path w="1913255" h="362585">
                <a:moveTo>
                  <a:pt x="365252" y="116484"/>
                </a:moveTo>
                <a:lnTo>
                  <a:pt x="357225" y="73177"/>
                </a:lnTo>
                <a:lnTo>
                  <a:pt x="333565" y="35915"/>
                </a:lnTo>
                <a:lnTo>
                  <a:pt x="294817" y="9829"/>
                </a:lnTo>
                <a:lnTo>
                  <a:pt x="241579" y="0"/>
                </a:lnTo>
                <a:lnTo>
                  <a:pt x="101904" y="0"/>
                </a:lnTo>
                <a:lnTo>
                  <a:pt x="98069" y="3835"/>
                </a:lnTo>
                <a:lnTo>
                  <a:pt x="98069" y="128663"/>
                </a:lnTo>
                <a:lnTo>
                  <a:pt x="103187" y="133781"/>
                </a:lnTo>
                <a:lnTo>
                  <a:pt x="182029" y="133781"/>
                </a:lnTo>
                <a:lnTo>
                  <a:pt x="187147" y="128663"/>
                </a:lnTo>
                <a:lnTo>
                  <a:pt x="187121" y="83680"/>
                </a:lnTo>
                <a:lnTo>
                  <a:pt x="190957" y="79844"/>
                </a:lnTo>
                <a:lnTo>
                  <a:pt x="237515" y="79844"/>
                </a:lnTo>
                <a:lnTo>
                  <a:pt x="253847" y="82918"/>
                </a:lnTo>
                <a:lnTo>
                  <a:pt x="266001" y="91097"/>
                </a:lnTo>
                <a:lnTo>
                  <a:pt x="273558" y="102819"/>
                </a:lnTo>
                <a:lnTo>
                  <a:pt x="276174" y="116484"/>
                </a:lnTo>
                <a:lnTo>
                  <a:pt x="273558" y="130149"/>
                </a:lnTo>
                <a:lnTo>
                  <a:pt x="265976" y="141871"/>
                </a:lnTo>
                <a:lnTo>
                  <a:pt x="253809" y="150063"/>
                </a:lnTo>
                <a:lnTo>
                  <a:pt x="237464" y="153136"/>
                </a:lnTo>
                <a:lnTo>
                  <a:pt x="67043" y="153225"/>
                </a:lnTo>
                <a:lnTo>
                  <a:pt x="61442" y="155841"/>
                </a:lnTo>
                <a:lnTo>
                  <a:pt x="0" y="229311"/>
                </a:lnTo>
                <a:lnTo>
                  <a:pt x="1816" y="233184"/>
                </a:lnTo>
                <a:lnTo>
                  <a:pt x="98069" y="233184"/>
                </a:lnTo>
                <a:lnTo>
                  <a:pt x="98069" y="358317"/>
                </a:lnTo>
                <a:lnTo>
                  <a:pt x="101904" y="362165"/>
                </a:lnTo>
                <a:lnTo>
                  <a:pt x="183299" y="362165"/>
                </a:lnTo>
                <a:lnTo>
                  <a:pt x="187134" y="358317"/>
                </a:lnTo>
                <a:lnTo>
                  <a:pt x="187134" y="232968"/>
                </a:lnTo>
                <a:lnTo>
                  <a:pt x="241579" y="232968"/>
                </a:lnTo>
                <a:lnTo>
                  <a:pt x="294817" y="223139"/>
                </a:lnTo>
                <a:lnTo>
                  <a:pt x="333565" y="197040"/>
                </a:lnTo>
                <a:lnTo>
                  <a:pt x="357225" y="159791"/>
                </a:lnTo>
                <a:lnTo>
                  <a:pt x="365252" y="116484"/>
                </a:lnTo>
                <a:close/>
              </a:path>
              <a:path w="1913255" h="362585">
                <a:moveTo>
                  <a:pt x="770991" y="124777"/>
                </a:moveTo>
                <a:lnTo>
                  <a:pt x="765340" y="94208"/>
                </a:lnTo>
                <a:lnTo>
                  <a:pt x="764324" y="88646"/>
                </a:lnTo>
                <a:lnTo>
                  <a:pt x="744601" y="57581"/>
                </a:lnTo>
                <a:lnTo>
                  <a:pt x="712304" y="35839"/>
                </a:lnTo>
                <a:lnTo>
                  <a:pt x="696747" y="32981"/>
                </a:lnTo>
                <a:lnTo>
                  <a:pt x="696747" y="124777"/>
                </a:lnTo>
                <a:lnTo>
                  <a:pt x="694588" y="136131"/>
                </a:lnTo>
                <a:lnTo>
                  <a:pt x="688289" y="145872"/>
                </a:lnTo>
                <a:lnTo>
                  <a:pt x="678180" y="152666"/>
                </a:lnTo>
                <a:lnTo>
                  <a:pt x="664565" y="155232"/>
                </a:lnTo>
                <a:lnTo>
                  <a:pt x="625767" y="155232"/>
                </a:lnTo>
                <a:lnTo>
                  <a:pt x="622617" y="152069"/>
                </a:lnTo>
                <a:lnTo>
                  <a:pt x="622617" y="97358"/>
                </a:lnTo>
                <a:lnTo>
                  <a:pt x="625767" y="94208"/>
                </a:lnTo>
                <a:lnTo>
                  <a:pt x="664565" y="94208"/>
                </a:lnTo>
                <a:lnTo>
                  <a:pt x="678180" y="96761"/>
                </a:lnTo>
                <a:lnTo>
                  <a:pt x="688289" y="103568"/>
                </a:lnTo>
                <a:lnTo>
                  <a:pt x="694588" y="113347"/>
                </a:lnTo>
                <a:lnTo>
                  <a:pt x="696747" y="124777"/>
                </a:lnTo>
                <a:lnTo>
                  <a:pt x="696747" y="32981"/>
                </a:lnTo>
                <a:lnTo>
                  <a:pt x="667905" y="27660"/>
                </a:lnTo>
                <a:lnTo>
                  <a:pt x="551548" y="27660"/>
                </a:lnTo>
                <a:lnTo>
                  <a:pt x="548386" y="30810"/>
                </a:lnTo>
                <a:lnTo>
                  <a:pt x="548386" y="326250"/>
                </a:lnTo>
                <a:lnTo>
                  <a:pt x="551548" y="329488"/>
                </a:lnTo>
                <a:lnTo>
                  <a:pt x="619379" y="329488"/>
                </a:lnTo>
                <a:lnTo>
                  <a:pt x="622617" y="326250"/>
                </a:lnTo>
                <a:lnTo>
                  <a:pt x="622617" y="224929"/>
                </a:lnTo>
                <a:lnTo>
                  <a:pt x="625767" y="221780"/>
                </a:lnTo>
                <a:lnTo>
                  <a:pt x="667905" y="221780"/>
                </a:lnTo>
                <a:lnTo>
                  <a:pt x="712304" y="213588"/>
                </a:lnTo>
                <a:lnTo>
                  <a:pt x="744601" y="191846"/>
                </a:lnTo>
                <a:lnTo>
                  <a:pt x="764324" y="160832"/>
                </a:lnTo>
                <a:lnTo>
                  <a:pt x="765352" y="155232"/>
                </a:lnTo>
                <a:lnTo>
                  <a:pt x="770991" y="124777"/>
                </a:lnTo>
                <a:close/>
              </a:path>
              <a:path w="1913255" h="362585">
                <a:moveTo>
                  <a:pt x="959497" y="315036"/>
                </a:moveTo>
                <a:lnTo>
                  <a:pt x="959485" y="275158"/>
                </a:lnTo>
                <a:lnTo>
                  <a:pt x="959472" y="237909"/>
                </a:lnTo>
                <a:lnTo>
                  <a:pt x="959472" y="181483"/>
                </a:lnTo>
                <a:lnTo>
                  <a:pt x="955255" y="157975"/>
                </a:lnTo>
                <a:lnTo>
                  <a:pt x="955154" y="157416"/>
                </a:lnTo>
                <a:lnTo>
                  <a:pt x="952957" y="145161"/>
                </a:lnTo>
                <a:lnTo>
                  <a:pt x="933729" y="119367"/>
                </a:lnTo>
                <a:lnTo>
                  <a:pt x="902246" y="103987"/>
                </a:lnTo>
                <a:lnTo>
                  <a:pt x="858977" y="98882"/>
                </a:lnTo>
                <a:lnTo>
                  <a:pt x="837018" y="99885"/>
                </a:lnTo>
                <a:lnTo>
                  <a:pt x="787615" y="118935"/>
                </a:lnTo>
                <a:lnTo>
                  <a:pt x="783882" y="125806"/>
                </a:lnTo>
                <a:lnTo>
                  <a:pt x="816838" y="169456"/>
                </a:lnTo>
                <a:lnTo>
                  <a:pt x="821613" y="170116"/>
                </a:lnTo>
                <a:lnTo>
                  <a:pt x="824687" y="167449"/>
                </a:lnTo>
                <a:lnTo>
                  <a:pt x="830986" y="162852"/>
                </a:lnTo>
                <a:lnTo>
                  <a:pt x="837780" y="159740"/>
                </a:lnTo>
                <a:lnTo>
                  <a:pt x="845769" y="157975"/>
                </a:lnTo>
                <a:lnTo>
                  <a:pt x="855637" y="157416"/>
                </a:lnTo>
                <a:lnTo>
                  <a:pt x="870927" y="158851"/>
                </a:lnTo>
                <a:lnTo>
                  <a:pt x="881494" y="163512"/>
                </a:lnTo>
                <a:lnTo>
                  <a:pt x="887704" y="171869"/>
                </a:lnTo>
                <a:lnTo>
                  <a:pt x="889927" y="184442"/>
                </a:lnTo>
                <a:lnTo>
                  <a:pt x="889927" y="188747"/>
                </a:lnTo>
                <a:lnTo>
                  <a:pt x="889927" y="240779"/>
                </a:lnTo>
                <a:lnTo>
                  <a:pt x="889825" y="252336"/>
                </a:lnTo>
                <a:lnTo>
                  <a:pt x="888974" y="257873"/>
                </a:lnTo>
                <a:lnTo>
                  <a:pt x="886675" y="261975"/>
                </a:lnTo>
                <a:lnTo>
                  <a:pt x="885825" y="263791"/>
                </a:lnTo>
                <a:lnTo>
                  <a:pt x="855637" y="275158"/>
                </a:lnTo>
                <a:lnTo>
                  <a:pt x="845718" y="273621"/>
                </a:lnTo>
                <a:lnTo>
                  <a:pt x="842251" y="271653"/>
                </a:lnTo>
                <a:lnTo>
                  <a:pt x="838441" y="269443"/>
                </a:lnTo>
                <a:lnTo>
                  <a:pt x="834148" y="263385"/>
                </a:lnTo>
                <a:lnTo>
                  <a:pt x="832713" y="256159"/>
                </a:lnTo>
                <a:lnTo>
                  <a:pt x="834250" y="248793"/>
                </a:lnTo>
                <a:lnTo>
                  <a:pt x="838657" y="243014"/>
                </a:lnTo>
                <a:lnTo>
                  <a:pt x="845604" y="239255"/>
                </a:lnTo>
                <a:lnTo>
                  <a:pt x="854773" y="237909"/>
                </a:lnTo>
                <a:lnTo>
                  <a:pt x="886968" y="237909"/>
                </a:lnTo>
                <a:lnTo>
                  <a:pt x="889927" y="240779"/>
                </a:lnTo>
                <a:lnTo>
                  <a:pt x="889927" y="188747"/>
                </a:lnTo>
                <a:lnTo>
                  <a:pt x="886752" y="191897"/>
                </a:lnTo>
                <a:lnTo>
                  <a:pt x="836422" y="191897"/>
                </a:lnTo>
                <a:lnTo>
                  <a:pt x="833945" y="192074"/>
                </a:lnTo>
                <a:lnTo>
                  <a:pt x="782307" y="214223"/>
                </a:lnTo>
                <a:lnTo>
                  <a:pt x="766394" y="256159"/>
                </a:lnTo>
                <a:lnTo>
                  <a:pt x="766127" y="257873"/>
                </a:lnTo>
                <a:lnTo>
                  <a:pt x="766991" y="269443"/>
                </a:lnTo>
                <a:lnTo>
                  <a:pt x="767105" y="271043"/>
                </a:lnTo>
                <a:lnTo>
                  <a:pt x="782167" y="306857"/>
                </a:lnTo>
                <a:lnTo>
                  <a:pt x="782358" y="307047"/>
                </a:lnTo>
                <a:lnTo>
                  <a:pt x="783602" y="308571"/>
                </a:lnTo>
                <a:lnTo>
                  <a:pt x="824382" y="330187"/>
                </a:lnTo>
                <a:lnTo>
                  <a:pt x="840828" y="331584"/>
                </a:lnTo>
                <a:lnTo>
                  <a:pt x="859548" y="331584"/>
                </a:lnTo>
                <a:lnTo>
                  <a:pt x="874928" y="330974"/>
                </a:lnTo>
                <a:lnTo>
                  <a:pt x="889063" y="329260"/>
                </a:lnTo>
                <a:lnTo>
                  <a:pt x="901954" y="326440"/>
                </a:lnTo>
                <a:lnTo>
                  <a:pt x="913599" y="322554"/>
                </a:lnTo>
                <a:lnTo>
                  <a:pt x="933094" y="328866"/>
                </a:lnTo>
                <a:lnTo>
                  <a:pt x="942403" y="330657"/>
                </a:lnTo>
                <a:lnTo>
                  <a:pt x="950899" y="329463"/>
                </a:lnTo>
                <a:lnTo>
                  <a:pt x="957097" y="324510"/>
                </a:lnTo>
                <a:lnTo>
                  <a:pt x="957592" y="322554"/>
                </a:lnTo>
                <a:lnTo>
                  <a:pt x="959497" y="315036"/>
                </a:lnTo>
                <a:close/>
              </a:path>
              <a:path w="1913255" h="362585">
                <a:moveTo>
                  <a:pt x="1193228" y="326301"/>
                </a:moveTo>
                <a:lnTo>
                  <a:pt x="1110348" y="197802"/>
                </a:lnTo>
                <a:lnTo>
                  <a:pt x="1110615" y="194284"/>
                </a:lnTo>
                <a:lnTo>
                  <a:pt x="1112748" y="191897"/>
                </a:lnTo>
                <a:lnTo>
                  <a:pt x="1181023" y="115062"/>
                </a:lnTo>
                <a:lnTo>
                  <a:pt x="1179385" y="111429"/>
                </a:lnTo>
                <a:lnTo>
                  <a:pt x="1103160" y="111429"/>
                </a:lnTo>
                <a:lnTo>
                  <a:pt x="1101077" y="112458"/>
                </a:lnTo>
                <a:lnTo>
                  <a:pt x="1052385" y="175514"/>
                </a:lnTo>
                <a:lnTo>
                  <a:pt x="1048080" y="174040"/>
                </a:lnTo>
                <a:lnTo>
                  <a:pt x="1048080" y="30848"/>
                </a:lnTo>
                <a:lnTo>
                  <a:pt x="1044879" y="27660"/>
                </a:lnTo>
                <a:lnTo>
                  <a:pt x="981710" y="27660"/>
                </a:lnTo>
                <a:lnTo>
                  <a:pt x="978522" y="30848"/>
                </a:lnTo>
                <a:lnTo>
                  <a:pt x="978522" y="326237"/>
                </a:lnTo>
                <a:lnTo>
                  <a:pt x="981710" y="329425"/>
                </a:lnTo>
                <a:lnTo>
                  <a:pt x="1044879" y="329425"/>
                </a:lnTo>
                <a:lnTo>
                  <a:pt x="1048080" y="326237"/>
                </a:lnTo>
                <a:lnTo>
                  <a:pt x="1048080" y="261747"/>
                </a:lnTo>
                <a:lnTo>
                  <a:pt x="1048740" y="260032"/>
                </a:lnTo>
                <a:lnTo>
                  <a:pt x="1059967" y="247777"/>
                </a:lnTo>
                <a:lnTo>
                  <a:pt x="1062875" y="248107"/>
                </a:lnTo>
                <a:lnTo>
                  <a:pt x="1108367" y="328053"/>
                </a:lnTo>
                <a:lnTo>
                  <a:pt x="1110729" y="329425"/>
                </a:lnTo>
                <a:lnTo>
                  <a:pt x="1191526" y="329425"/>
                </a:lnTo>
                <a:lnTo>
                  <a:pt x="1193228" y="326301"/>
                </a:lnTo>
                <a:close/>
              </a:path>
              <a:path w="1913255" h="362585">
                <a:moveTo>
                  <a:pt x="1350530" y="30848"/>
                </a:moveTo>
                <a:lnTo>
                  <a:pt x="1347343" y="27647"/>
                </a:lnTo>
                <a:lnTo>
                  <a:pt x="1166685" y="27647"/>
                </a:lnTo>
                <a:lnTo>
                  <a:pt x="1164577" y="28702"/>
                </a:lnTo>
                <a:lnTo>
                  <a:pt x="1117993" y="90411"/>
                </a:lnTo>
                <a:lnTo>
                  <a:pt x="1119670" y="93764"/>
                </a:lnTo>
                <a:lnTo>
                  <a:pt x="1198918" y="93764"/>
                </a:lnTo>
                <a:lnTo>
                  <a:pt x="1202118" y="96964"/>
                </a:lnTo>
                <a:lnTo>
                  <a:pt x="1202118" y="326237"/>
                </a:lnTo>
                <a:lnTo>
                  <a:pt x="1205306" y="329438"/>
                </a:lnTo>
                <a:lnTo>
                  <a:pt x="1273124" y="329438"/>
                </a:lnTo>
                <a:lnTo>
                  <a:pt x="1276324" y="326237"/>
                </a:lnTo>
                <a:lnTo>
                  <a:pt x="1276324" y="100901"/>
                </a:lnTo>
                <a:lnTo>
                  <a:pt x="1276324" y="96964"/>
                </a:lnTo>
                <a:lnTo>
                  <a:pt x="1279512" y="93764"/>
                </a:lnTo>
                <a:lnTo>
                  <a:pt x="1347343" y="93764"/>
                </a:lnTo>
                <a:lnTo>
                  <a:pt x="1350530" y="90576"/>
                </a:lnTo>
                <a:lnTo>
                  <a:pt x="1350530" y="30848"/>
                </a:lnTo>
                <a:close/>
              </a:path>
              <a:path w="1913255" h="362585">
                <a:moveTo>
                  <a:pt x="1500949" y="206971"/>
                </a:moveTo>
                <a:lnTo>
                  <a:pt x="1498498" y="191693"/>
                </a:lnTo>
                <a:lnTo>
                  <a:pt x="1494205" y="164871"/>
                </a:lnTo>
                <a:lnTo>
                  <a:pt x="1489138" y="156070"/>
                </a:lnTo>
                <a:lnTo>
                  <a:pt x="1474419" y="130517"/>
                </a:lnTo>
                <a:lnTo>
                  <a:pt x="1442224" y="107365"/>
                </a:lnTo>
                <a:lnTo>
                  <a:pt x="1432267" y="105448"/>
                </a:lnTo>
                <a:lnTo>
                  <a:pt x="1432267" y="187782"/>
                </a:lnTo>
                <a:lnTo>
                  <a:pt x="1428826" y="191693"/>
                </a:lnTo>
                <a:lnTo>
                  <a:pt x="1367777" y="191693"/>
                </a:lnTo>
                <a:lnTo>
                  <a:pt x="1364246" y="187782"/>
                </a:lnTo>
                <a:lnTo>
                  <a:pt x="1398257" y="156070"/>
                </a:lnTo>
                <a:lnTo>
                  <a:pt x="1409382" y="157480"/>
                </a:lnTo>
                <a:lnTo>
                  <a:pt x="1432267" y="187782"/>
                </a:lnTo>
                <a:lnTo>
                  <a:pt x="1432267" y="105448"/>
                </a:lnTo>
                <a:lnTo>
                  <a:pt x="1357096" y="106603"/>
                </a:lnTo>
                <a:lnTo>
                  <a:pt x="1324787" y="129171"/>
                </a:lnTo>
                <a:lnTo>
                  <a:pt x="1303680" y="165709"/>
                </a:lnTo>
                <a:lnTo>
                  <a:pt x="1296123" y="215366"/>
                </a:lnTo>
                <a:lnTo>
                  <a:pt x="1305979" y="275082"/>
                </a:lnTo>
                <a:lnTo>
                  <a:pt x="1331468" y="310553"/>
                </a:lnTo>
                <a:lnTo>
                  <a:pt x="1366418" y="327583"/>
                </a:lnTo>
                <a:lnTo>
                  <a:pt x="1404658" y="331965"/>
                </a:lnTo>
                <a:lnTo>
                  <a:pt x="1429016" y="330301"/>
                </a:lnTo>
                <a:lnTo>
                  <a:pt x="1466621" y="317309"/>
                </a:lnTo>
                <a:lnTo>
                  <a:pt x="1485569" y="299491"/>
                </a:lnTo>
                <a:lnTo>
                  <a:pt x="1483283" y="296430"/>
                </a:lnTo>
                <a:lnTo>
                  <a:pt x="1466011" y="273519"/>
                </a:lnTo>
                <a:lnTo>
                  <a:pt x="1456436" y="260819"/>
                </a:lnTo>
                <a:lnTo>
                  <a:pt x="1453959" y="257479"/>
                </a:lnTo>
                <a:lnTo>
                  <a:pt x="1449082" y="257111"/>
                </a:lnTo>
                <a:lnTo>
                  <a:pt x="1445933" y="259867"/>
                </a:lnTo>
                <a:lnTo>
                  <a:pt x="1438059" y="265709"/>
                </a:lnTo>
                <a:lnTo>
                  <a:pt x="1429118" y="269989"/>
                </a:lnTo>
                <a:lnTo>
                  <a:pt x="1418259" y="272618"/>
                </a:lnTo>
                <a:lnTo>
                  <a:pt x="1404658" y="273519"/>
                </a:lnTo>
                <a:lnTo>
                  <a:pt x="1389862" y="271411"/>
                </a:lnTo>
                <a:lnTo>
                  <a:pt x="1364348" y="242112"/>
                </a:lnTo>
                <a:lnTo>
                  <a:pt x="1367878" y="237909"/>
                </a:lnTo>
                <a:lnTo>
                  <a:pt x="1497711" y="237909"/>
                </a:lnTo>
                <a:lnTo>
                  <a:pt x="1500949" y="234657"/>
                </a:lnTo>
                <a:lnTo>
                  <a:pt x="1500949" y="206971"/>
                </a:lnTo>
                <a:close/>
              </a:path>
              <a:path w="1913255" h="362585">
                <a:moveTo>
                  <a:pt x="1681543" y="124294"/>
                </a:moveTo>
                <a:lnTo>
                  <a:pt x="1649463" y="103632"/>
                </a:lnTo>
                <a:lnTo>
                  <a:pt x="1615160" y="98856"/>
                </a:lnTo>
                <a:lnTo>
                  <a:pt x="1582483" y="103060"/>
                </a:lnTo>
                <a:lnTo>
                  <a:pt x="1549069" y="119786"/>
                </a:lnTo>
                <a:lnTo>
                  <a:pt x="1523047" y="155181"/>
                </a:lnTo>
                <a:lnTo>
                  <a:pt x="1512570" y="215404"/>
                </a:lnTo>
                <a:lnTo>
                  <a:pt x="1523047" y="275640"/>
                </a:lnTo>
                <a:lnTo>
                  <a:pt x="1549069" y="311061"/>
                </a:lnTo>
                <a:lnTo>
                  <a:pt x="1582483" y="327787"/>
                </a:lnTo>
                <a:lnTo>
                  <a:pt x="1615160" y="332003"/>
                </a:lnTo>
                <a:lnTo>
                  <a:pt x="1633105" y="330784"/>
                </a:lnTo>
                <a:lnTo>
                  <a:pt x="1677454" y="313512"/>
                </a:lnTo>
                <a:lnTo>
                  <a:pt x="1645450" y="258762"/>
                </a:lnTo>
                <a:lnTo>
                  <a:pt x="1630934" y="266306"/>
                </a:lnTo>
                <a:lnTo>
                  <a:pt x="1624253" y="269278"/>
                </a:lnTo>
                <a:lnTo>
                  <a:pt x="1615160" y="269278"/>
                </a:lnTo>
                <a:lnTo>
                  <a:pt x="1605851" y="269278"/>
                </a:lnTo>
                <a:lnTo>
                  <a:pt x="1599463" y="266293"/>
                </a:lnTo>
                <a:lnTo>
                  <a:pt x="1582737" y="230365"/>
                </a:lnTo>
                <a:lnTo>
                  <a:pt x="1582077" y="215404"/>
                </a:lnTo>
                <a:lnTo>
                  <a:pt x="1582737" y="200469"/>
                </a:lnTo>
                <a:lnTo>
                  <a:pt x="1599463" y="164553"/>
                </a:lnTo>
                <a:lnTo>
                  <a:pt x="1605851" y="161582"/>
                </a:lnTo>
                <a:lnTo>
                  <a:pt x="1624253" y="161582"/>
                </a:lnTo>
                <a:lnTo>
                  <a:pt x="1630934" y="164515"/>
                </a:lnTo>
                <a:lnTo>
                  <a:pt x="1640840" y="172745"/>
                </a:lnTo>
                <a:lnTo>
                  <a:pt x="1645462" y="172085"/>
                </a:lnTo>
                <a:lnTo>
                  <a:pt x="1681543" y="124294"/>
                </a:lnTo>
                <a:close/>
              </a:path>
              <a:path w="1913255" h="362585">
                <a:moveTo>
                  <a:pt x="1889442" y="181495"/>
                </a:moveTo>
                <a:lnTo>
                  <a:pt x="1884959" y="149085"/>
                </a:lnTo>
                <a:lnTo>
                  <a:pt x="1871395" y="122847"/>
                </a:lnTo>
                <a:lnTo>
                  <a:pt x="1848624" y="105270"/>
                </a:lnTo>
                <a:lnTo>
                  <a:pt x="1816468" y="98856"/>
                </a:lnTo>
                <a:lnTo>
                  <a:pt x="1805051" y="99822"/>
                </a:lnTo>
                <a:lnTo>
                  <a:pt x="1793684" y="102768"/>
                </a:lnTo>
                <a:lnTo>
                  <a:pt x="1782648" y="107746"/>
                </a:lnTo>
                <a:lnTo>
                  <a:pt x="1772234" y="114808"/>
                </a:lnTo>
                <a:lnTo>
                  <a:pt x="1769910" y="116700"/>
                </a:lnTo>
                <a:lnTo>
                  <a:pt x="1766430" y="115100"/>
                </a:lnTo>
                <a:lnTo>
                  <a:pt x="1766430" y="30848"/>
                </a:lnTo>
                <a:lnTo>
                  <a:pt x="1763242" y="27660"/>
                </a:lnTo>
                <a:lnTo>
                  <a:pt x="1700072" y="27660"/>
                </a:lnTo>
                <a:lnTo>
                  <a:pt x="1696885" y="30848"/>
                </a:lnTo>
                <a:lnTo>
                  <a:pt x="1696885" y="326250"/>
                </a:lnTo>
                <a:lnTo>
                  <a:pt x="1700072" y="329438"/>
                </a:lnTo>
                <a:lnTo>
                  <a:pt x="1763242" y="329438"/>
                </a:lnTo>
                <a:lnTo>
                  <a:pt x="1766430" y="326250"/>
                </a:lnTo>
                <a:lnTo>
                  <a:pt x="1766430" y="191249"/>
                </a:lnTo>
                <a:lnTo>
                  <a:pt x="1769351" y="176250"/>
                </a:lnTo>
                <a:lnTo>
                  <a:pt x="1776437" y="167195"/>
                </a:lnTo>
                <a:lnTo>
                  <a:pt x="1785200" y="162763"/>
                </a:lnTo>
                <a:lnTo>
                  <a:pt x="1793138" y="161582"/>
                </a:lnTo>
                <a:lnTo>
                  <a:pt x="1801075" y="162763"/>
                </a:lnTo>
                <a:lnTo>
                  <a:pt x="1809851" y="167195"/>
                </a:lnTo>
                <a:lnTo>
                  <a:pt x="1816963" y="176250"/>
                </a:lnTo>
                <a:lnTo>
                  <a:pt x="1819884" y="191249"/>
                </a:lnTo>
                <a:lnTo>
                  <a:pt x="1819884" y="326250"/>
                </a:lnTo>
                <a:lnTo>
                  <a:pt x="1823085" y="329438"/>
                </a:lnTo>
                <a:lnTo>
                  <a:pt x="1886229" y="329438"/>
                </a:lnTo>
                <a:lnTo>
                  <a:pt x="1889442" y="326250"/>
                </a:lnTo>
                <a:lnTo>
                  <a:pt x="1889442" y="181495"/>
                </a:lnTo>
                <a:close/>
              </a:path>
              <a:path w="1913255" h="362585">
                <a:moveTo>
                  <a:pt x="1901888" y="37299"/>
                </a:moveTo>
                <a:lnTo>
                  <a:pt x="1897380" y="28905"/>
                </a:lnTo>
                <a:lnTo>
                  <a:pt x="1897113" y="28422"/>
                </a:lnTo>
                <a:lnTo>
                  <a:pt x="1899500" y="27559"/>
                </a:lnTo>
                <a:lnTo>
                  <a:pt x="1901139" y="25844"/>
                </a:lnTo>
                <a:lnTo>
                  <a:pt x="1901317" y="25654"/>
                </a:lnTo>
                <a:lnTo>
                  <a:pt x="1901317" y="19443"/>
                </a:lnTo>
                <a:lnTo>
                  <a:pt x="1901317" y="19164"/>
                </a:lnTo>
                <a:lnTo>
                  <a:pt x="1898459" y="16103"/>
                </a:lnTo>
                <a:lnTo>
                  <a:pt x="1897494" y="16103"/>
                </a:lnTo>
                <a:lnTo>
                  <a:pt x="1897494" y="20878"/>
                </a:lnTo>
                <a:lnTo>
                  <a:pt x="1897494" y="24409"/>
                </a:lnTo>
                <a:lnTo>
                  <a:pt x="1896059" y="25844"/>
                </a:lnTo>
                <a:lnTo>
                  <a:pt x="1890433" y="25844"/>
                </a:lnTo>
                <a:lnTo>
                  <a:pt x="1890433" y="19443"/>
                </a:lnTo>
                <a:lnTo>
                  <a:pt x="1896059" y="19443"/>
                </a:lnTo>
                <a:lnTo>
                  <a:pt x="1897494" y="20878"/>
                </a:lnTo>
                <a:lnTo>
                  <a:pt x="1897494" y="16103"/>
                </a:lnTo>
                <a:lnTo>
                  <a:pt x="1886508" y="16103"/>
                </a:lnTo>
                <a:lnTo>
                  <a:pt x="1886508" y="37299"/>
                </a:lnTo>
                <a:lnTo>
                  <a:pt x="1890433" y="37299"/>
                </a:lnTo>
                <a:lnTo>
                  <a:pt x="1890433" y="28905"/>
                </a:lnTo>
                <a:lnTo>
                  <a:pt x="1893100" y="28905"/>
                </a:lnTo>
                <a:lnTo>
                  <a:pt x="1897494" y="37299"/>
                </a:lnTo>
                <a:lnTo>
                  <a:pt x="1901888" y="37299"/>
                </a:lnTo>
                <a:close/>
              </a:path>
              <a:path w="1913255" h="362585">
                <a:moveTo>
                  <a:pt x="1912975" y="26809"/>
                </a:moveTo>
                <a:lnTo>
                  <a:pt x="1911502" y="19443"/>
                </a:lnTo>
                <a:lnTo>
                  <a:pt x="1911438" y="19164"/>
                </a:lnTo>
                <a:lnTo>
                  <a:pt x="1909064" y="15633"/>
                </a:lnTo>
                <a:lnTo>
                  <a:pt x="1909064" y="17818"/>
                </a:lnTo>
                <a:lnTo>
                  <a:pt x="1909064" y="35687"/>
                </a:lnTo>
                <a:lnTo>
                  <a:pt x="1902091" y="42748"/>
                </a:lnTo>
                <a:lnTo>
                  <a:pt x="1884502" y="42748"/>
                </a:lnTo>
                <a:lnTo>
                  <a:pt x="1877618" y="35687"/>
                </a:lnTo>
                <a:lnTo>
                  <a:pt x="1877618" y="17818"/>
                </a:lnTo>
                <a:lnTo>
                  <a:pt x="1884502" y="10756"/>
                </a:lnTo>
                <a:lnTo>
                  <a:pt x="1902091" y="10756"/>
                </a:lnTo>
                <a:lnTo>
                  <a:pt x="1909064" y="17818"/>
                </a:lnTo>
                <a:lnTo>
                  <a:pt x="1909064" y="15633"/>
                </a:lnTo>
                <a:lnTo>
                  <a:pt x="1907222" y="12890"/>
                </a:lnTo>
                <a:lnTo>
                  <a:pt x="1904072" y="10756"/>
                </a:lnTo>
                <a:lnTo>
                  <a:pt x="1900974" y="8674"/>
                </a:lnTo>
                <a:lnTo>
                  <a:pt x="1893290" y="7124"/>
                </a:lnTo>
                <a:lnTo>
                  <a:pt x="1885683" y="8674"/>
                </a:lnTo>
                <a:lnTo>
                  <a:pt x="1879460" y="12890"/>
                </a:lnTo>
                <a:lnTo>
                  <a:pt x="1875256" y="19164"/>
                </a:lnTo>
                <a:lnTo>
                  <a:pt x="1873707" y="26809"/>
                </a:lnTo>
                <a:lnTo>
                  <a:pt x="1875256" y="34417"/>
                </a:lnTo>
                <a:lnTo>
                  <a:pt x="1879460" y="40640"/>
                </a:lnTo>
                <a:lnTo>
                  <a:pt x="1885683" y="44843"/>
                </a:lnTo>
                <a:lnTo>
                  <a:pt x="1893290" y="46380"/>
                </a:lnTo>
                <a:lnTo>
                  <a:pt x="1900974" y="44843"/>
                </a:lnTo>
                <a:lnTo>
                  <a:pt x="1904085" y="42748"/>
                </a:lnTo>
                <a:lnTo>
                  <a:pt x="1907222" y="40640"/>
                </a:lnTo>
                <a:lnTo>
                  <a:pt x="1911438" y="34417"/>
                </a:lnTo>
                <a:lnTo>
                  <a:pt x="1912975" y="26809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1</xdr:row>
      <xdr:rowOff>146050</xdr:rowOff>
    </xdr:from>
    <xdr:to>
      <xdr:col>5</xdr:col>
      <xdr:colOff>584200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6E895-9975-4F8F-8D6E-06C481A53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0.02587</cdr:x>
      <cdr:y>0.85375</cdr:y>
    </cdr:from>
    <cdr:to>
      <cdr:x>0.41283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5E2A1F-061B-5910-06A3-4DE87FB09216}"/>
            </a:ext>
          </a:extLst>
        </cdr:cNvPr>
        <cdr:cNvSpPr txBox="1"/>
      </cdr:nvSpPr>
      <cdr:spPr>
        <a:xfrm xmlns:a="http://schemas.openxmlformats.org/drawingml/2006/main">
          <a:off x="117785" y="2851610"/>
          <a:ext cx="1761815" cy="488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*Ginger</a:t>
          </a:r>
          <a:r>
            <a:rPr lang="en-US" sz="1100" kern="1200" baseline="0"/>
            <a:t> Beer Estimate</a:t>
          </a:r>
        </a:p>
        <a:p xmlns:a="http://schemas.openxmlformats.org/drawingml/2006/main">
          <a:r>
            <a:rPr lang="en-US" sz="1100" kern="1200" baseline="0"/>
            <a:t>*Creme soda  not included</a:t>
          </a:r>
          <a:endParaRPr lang="en-US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1</xdr:row>
      <xdr:rowOff>146050</xdr:rowOff>
    </xdr:from>
    <xdr:to>
      <xdr:col>7</xdr:col>
      <xdr:colOff>584200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58D63-CCF6-4469-8C55-CD4C2BA4C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0.02587</cdr:x>
      <cdr:y>0.85375</cdr:y>
    </cdr:from>
    <cdr:to>
      <cdr:x>0.41283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5E2A1F-061B-5910-06A3-4DE87FB09216}"/>
            </a:ext>
          </a:extLst>
        </cdr:cNvPr>
        <cdr:cNvSpPr txBox="1"/>
      </cdr:nvSpPr>
      <cdr:spPr>
        <a:xfrm xmlns:a="http://schemas.openxmlformats.org/drawingml/2006/main">
          <a:off x="117785" y="2851610"/>
          <a:ext cx="1761815" cy="488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*Ginger</a:t>
          </a:r>
          <a:r>
            <a:rPr lang="en-US" sz="1100" kern="1200" baseline="0"/>
            <a:t> Beer Estimate</a:t>
          </a:r>
        </a:p>
        <a:p xmlns:a="http://schemas.openxmlformats.org/drawingml/2006/main">
          <a:r>
            <a:rPr lang="en-US" sz="1100" kern="1200" baseline="0"/>
            <a:t>*Creme soda  not included</a:t>
          </a:r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loan\Downloads\Can%20sales%20by%20flavo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Sloan" refreshedDate="45742.540949768518" createdVersion="8" refreshedVersion="8" minRefreshableVersion="3" recordCount="7165" xr:uid="{622981B9-4BCF-4022-B491-2CD78A28FB35}">
  <cacheSource type="worksheet">
    <worksheetSource ref="A1:E7166" sheet="Sheet1" r:id="rId2"/>
  </cacheSource>
  <cacheFields count="5">
    <cacheField name="Date" numFmtId="171">
      <sharedItems containsSemiMixedTypes="0" containsNonDate="0" containsDate="1" containsString="0" minDate="2024-10-01T00:00:00" maxDate="2025-03-26T00:00:00"/>
    </cacheField>
    <cacheField name="Num" numFmtId="0">
      <sharedItems/>
    </cacheField>
    <cacheField name="Customer" numFmtId="0">
      <sharedItems/>
    </cacheField>
    <cacheField name="Quantity" numFmtId="0">
      <sharedItems containsSemiMixedTypes="0" containsString="0" containsNumber="1" containsInteger="1" minValue="-3" maxValue="73"/>
    </cacheField>
    <cacheField name="Product/Service" numFmtId="0">
      <sharedItems count="40">
        <s v="24P126491 OLDE FOUNTAIN CREME CASE"/>
        <s v="24P126121 HANGAR 25 COLA CASE"/>
        <s v="24P126481 GOLDEN GATE ORANGE CASE"/>
        <s v="24P126141 CABLE CAR LEMON LIME CASE"/>
        <s v="24P126151 OAKTOWN ROOTBEER CASE"/>
        <s v="3G6151 OAKTOWN ROOT BEER"/>
        <s v="3G1911 DOCTEUR POIVRE"/>
        <s v="3G2491 APT MEYER LEMONADE"/>
        <s v="3G6121 HANGAR 25 COLA"/>
        <s v="3G6481 GOLDEN GATE ORANGE"/>
        <s v="3G6471 LOST ISLAND GINGER BEER"/>
        <s v="24P121091 HANGAR 25 DIET COLA CASE"/>
        <s v="3G6141 CABLE CAR LEMON LIME"/>
        <s v="5G6121 HANGAR 25 COLA"/>
        <s v="3G2051 APT CRANBERRY"/>
        <s v="3G1091 HANGAR 25 DIET COLA"/>
        <s v="3G6501 DIABLO BLACK CHERRY"/>
        <s v="3G6491 OLDE FOUNTAIN CREME"/>
        <s v="3G1141 APT TONIC"/>
        <s v="3G6131 APT GINGER ALE"/>
        <s v="24P126471 LOST ISLAND GINGER BEER CASE"/>
        <s v="3G2121 APT ORANGE JUICE"/>
        <s v="3G2161 APT SWEET &amp; SOUR"/>
        <s v="3GSW913 ORG MANGO SPARKLING"/>
        <s v="3G3041 APT TEA"/>
        <s v="3G2011 APT APPLE"/>
        <s v="5G1091 HANGAR 25 DIET COLA"/>
        <s v="5G6141 CABLE CAR LEMON LIME"/>
        <s v="3G2151 APT PINEAPPLE"/>
        <s v="3G6511 GRAND LAKE GRAPEFRUIT"/>
        <s v="3G2071 APT FRUIT PUNCH"/>
        <s v="3GSF912 SF APT MEYER LEMONADE"/>
        <s v="3GSF112 SF DOCTEUR POIVRE"/>
        <s v="3GSF312 SF APT GINGER ALE"/>
        <s v="3GSF053 SF APT PEACH"/>
        <s v="3GSF512 SF OAKTOWN ROOT BEER"/>
        <s v="SF3G2061 SF APT DRAGONFRUIT"/>
        <s v="3G5011 APT ENERGY"/>
        <s v="PUCO8081 PICKUP EMPTY 10LB CO2 CYLINDER"/>
        <s v="CO8010 10 LB CO2 GAS CYLINDER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5">
  <r>
    <d v="2024-10-01T00:00:00"/>
    <s v="9989010860"/>
    <s v="ENCINAL MARKET"/>
    <n v="1"/>
    <x v="0"/>
  </r>
  <r>
    <d v="2024-10-01T00:00:00"/>
    <s v="9989010860"/>
    <s v="ENCINAL MARKET"/>
    <n v="2"/>
    <x v="1"/>
  </r>
  <r>
    <d v="2024-10-01T00:00:00"/>
    <s v="9989010860"/>
    <s v="ENCINAL MARKET"/>
    <n v="1"/>
    <x v="2"/>
  </r>
  <r>
    <d v="2024-10-01T00:00:00"/>
    <s v="9989010860"/>
    <s v="ENCINAL MARKET"/>
    <n v="1"/>
    <x v="3"/>
  </r>
  <r>
    <d v="2024-10-01T00:00:00"/>
    <s v="9989010860"/>
    <s v="ENCINAL MARKET"/>
    <n v="1"/>
    <x v="4"/>
  </r>
  <r>
    <d v="2024-10-01T00:00:00"/>
    <s v="9989010861"/>
    <s v="PIXAR ANIMATION STUDIOS"/>
    <n v="1"/>
    <x v="5"/>
  </r>
  <r>
    <d v="2024-10-01T00:00:00"/>
    <s v="9989010861"/>
    <s v="PIXAR ANIMATION STUDIOS"/>
    <n v="1"/>
    <x v="6"/>
  </r>
  <r>
    <d v="2024-10-01T00:00:00"/>
    <s v="9989010861"/>
    <s v="PIXAR ANIMATION STUDIOS"/>
    <n v="2"/>
    <x v="7"/>
  </r>
  <r>
    <d v="2024-10-01T00:00:00"/>
    <s v="9989010862"/>
    <s v="ARTHUR MAC'S LITTLE SNACK"/>
    <n v="3"/>
    <x v="8"/>
  </r>
  <r>
    <d v="2024-10-01T00:00:00"/>
    <s v="9989010862"/>
    <s v="ARTHUR MAC'S LITTLE SNACK"/>
    <n v="1"/>
    <x v="9"/>
  </r>
  <r>
    <d v="2024-10-01T00:00:00"/>
    <s v="9989010862"/>
    <s v="ARTHUR MAC'S LITTLE SNACK"/>
    <n v="1"/>
    <x v="5"/>
  </r>
  <r>
    <d v="2024-10-01T00:00:00"/>
    <s v="9989010862"/>
    <s v="ARTHUR MAC'S LITTLE SNACK"/>
    <n v="1"/>
    <x v="10"/>
  </r>
  <r>
    <d v="2024-10-01T00:00:00"/>
    <s v="9989010863"/>
    <s v="STARBIRD CHICKEN - SF CLOUD"/>
    <n v="3"/>
    <x v="11"/>
  </r>
  <r>
    <d v="2024-10-01T00:00:00"/>
    <s v="9989010863"/>
    <s v="STARBIRD CHICKEN - SF CLOUD"/>
    <n v="4"/>
    <x v="1"/>
  </r>
  <r>
    <d v="2024-10-01T00:00:00"/>
    <s v="9989010863"/>
    <s v="STARBIRD CHICKEN - SF CLOUD"/>
    <n v="4"/>
    <x v="3"/>
  </r>
  <r>
    <d v="2024-10-01T00:00:00"/>
    <s v="9989010863"/>
    <s v="STARBIRD CHICKEN - SF CLOUD"/>
    <n v="2"/>
    <x v="4"/>
  </r>
  <r>
    <d v="2024-10-01T00:00:00"/>
    <s v="9989010864"/>
    <s v="SCOMAS RESTAURANT"/>
    <n v="1"/>
    <x v="8"/>
  </r>
  <r>
    <d v="2024-10-01T00:00:00"/>
    <s v="9989010864"/>
    <s v="SCOMAS RESTAURANT"/>
    <n v="1"/>
    <x v="12"/>
  </r>
  <r>
    <d v="2024-10-01T00:00:00"/>
    <s v="9989010865"/>
    <s v="THE DEAD FISH"/>
    <n v="1"/>
    <x v="13"/>
  </r>
  <r>
    <d v="2024-10-01T00:00:00"/>
    <s v="9989010865"/>
    <s v="THE DEAD FISH"/>
    <n v="2"/>
    <x v="14"/>
  </r>
  <r>
    <d v="2024-10-01T00:00:00"/>
    <s v="9989010866"/>
    <s v="BALBOA THEATER"/>
    <n v="1"/>
    <x v="13"/>
  </r>
  <r>
    <d v="2024-10-01T00:00:00"/>
    <s v="9989010866"/>
    <s v="BALBOA THEATER"/>
    <n v="1"/>
    <x v="12"/>
  </r>
  <r>
    <d v="2024-10-01T00:00:00"/>
    <s v="9989010866"/>
    <s v="BALBOA THEATER"/>
    <n v="1"/>
    <x v="5"/>
  </r>
  <r>
    <d v="2024-10-01T00:00:00"/>
    <s v="9989010867"/>
    <s v="POINT SAN PABLO YACHT CLUB"/>
    <n v="2"/>
    <x v="8"/>
  </r>
  <r>
    <d v="2024-10-01T00:00:00"/>
    <s v="9989010867"/>
    <s v="POINT SAN PABLO YACHT CLUB"/>
    <n v="1"/>
    <x v="14"/>
  </r>
  <r>
    <d v="2024-10-01T00:00:00"/>
    <s v="9989010869"/>
    <s v="HOMEROOM - BERKELEY"/>
    <n v="1"/>
    <x v="8"/>
  </r>
  <r>
    <d v="2024-10-01T00:00:00"/>
    <s v="9989010869"/>
    <s v="HOMEROOM - BERKELEY"/>
    <n v="1"/>
    <x v="12"/>
  </r>
  <r>
    <d v="2024-10-01T00:00:00"/>
    <s v="9989010869"/>
    <s v="HOMEROOM - BERKELEY"/>
    <n v="1"/>
    <x v="5"/>
  </r>
  <r>
    <d v="2024-10-01T00:00:00"/>
    <s v="9989010869"/>
    <s v="HOMEROOM - BERKELEY"/>
    <n v="1"/>
    <x v="15"/>
  </r>
  <r>
    <d v="2024-10-01T00:00:00"/>
    <s v="9989010870"/>
    <s v="PANCOAST PIZZA"/>
    <n v="1"/>
    <x v="9"/>
  </r>
  <r>
    <d v="2024-10-01T00:00:00"/>
    <s v="9989010870"/>
    <s v="PANCOAST PIZZA"/>
    <n v="1"/>
    <x v="16"/>
  </r>
  <r>
    <d v="2024-10-01T00:00:00"/>
    <s v="9989010870"/>
    <s v="PANCOAST PIZZA"/>
    <n v="1"/>
    <x v="17"/>
  </r>
  <r>
    <d v="2024-10-01T00:00:00"/>
    <s v="9989010870"/>
    <s v="PANCOAST PIZZA"/>
    <n v="1"/>
    <x v="15"/>
  </r>
  <r>
    <d v="2024-10-01T00:00:00"/>
    <s v="9989010870"/>
    <s v="PANCOAST PIZZA"/>
    <n v="1"/>
    <x v="5"/>
  </r>
  <r>
    <d v="2024-10-01T00:00:00"/>
    <s v="9989010871"/>
    <s v="CLUB MALLARD"/>
    <n v="1"/>
    <x v="8"/>
  </r>
  <r>
    <d v="2024-10-01T00:00:00"/>
    <s v="9989010871"/>
    <s v="CLUB MALLARD"/>
    <n v="1"/>
    <x v="12"/>
  </r>
  <r>
    <d v="2024-10-01T00:00:00"/>
    <s v="9989010872"/>
    <s v="EAGLES LODGE #609"/>
    <n v="1"/>
    <x v="13"/>
  </r>
  <r>
    <d v="2024-10-01T00:00:00"/>
    <s v="9989010874"/>
    <s v="LUCKY 13"/>
    <n v="1"/>
    <x v="8"/>
  </r>
  <r>
    <d v="2024-10-01T00:00:00"/>
    <s v="9989010874"/>
    <s v="LUCKY 13"/>
    <n v="1"/>
    <x v="12"/>
  </r>
  <r>
    <d v="2024-10-01T00:00:00"/>
    <s v="9989010874"/>
    <s v="LUCKY 13"/>
    <n v="1"/>
    <x v="14"/>
  </r>
  <r>
    <d v="2024-10-01T00:00:00"/>
    <s v="9989010874"/>
    <s v="LUCKY 13"/>
    <n v="1"/>
    <x v="18"/>
  </r>
  <r>
    <d v="2024-10-01T00:00:00"/>
    <s v="9989010874"/>
    <s v="LUCKY 13"/>
    <n v="1"/>
    <x v="10"/>
  </r>
  <r>
    <d v="2024-10-01T00:00:00"/>
    <s v="9989010875"/>
    <s v="FIRESIDE LOUNGE"/>
    <n v="2"/>
    <x v="8"/>
  </r>
  <r>
    <d v="2024-10-01T00:00:00"/>
    <s v="9989010875"/>
    <s v="FIRESIDE LOUNGE"/>
    <n v="1"/>
    <x v="18"/>
  </r>
  <r>
    <d v="2024-10-01T00:00:00"/>
    <s v="9989010875"/>
    <s v="FIRESIDE LOUNGE"/>
    <n v="1"/>
    <x v="14"/>
  </r>
  <r>
    <d v="2024-10-01T00:00:00"/>
    <s v="9989010875"/>
    <s v="FIRESIDE LOUNGE"/>
    <n v="1"/>
    <x v="10"/>
  </r>
  <r>
    <d v="2024-10-01T00:00:00"/>
    <s v="9989010876"/>
    <s v="HOTSY TOTSY CLUB"/>
    <n v="1"/>
    <x v="8"/>
  </r>
  <r>
    <d v="2024-10-01T00:00:00"/>
    <s v="9989010876"/>
    <s v="HOTSY TOTSY CLUB"/>
    <n v="1"/>
    <x v="15"/>
  </r>
  <r>
    <d v="2024-10-01T00:00:00"/>
    <s v="9989010876"/>
    <s v="HOTSY TOTSY CLUB"/>
    <n v="1"/>
    <x v="14"/>
  </r>
  <r>
    <d v="2024-10-01T00:00:00"/>
    <s v="9989010877"/>
    <s v="CROWN BAR (LAMA BAR)"/>
    <n v="1"/>
    <x v="8"/>
  </r>
  <r>
    <d v="2024-10-01T00:00:00"/>
    <s v="9989010877"/>
    <s v="CROWN BAR (LAMA BAR)"/>
    <n v="1"/>
    <x v="14"/>
  </r>
  <r>
    <d v="2024-10-01T00:00:00"/>
    <s v="9989010877"/>
    <s v="CROWN BAR (LAMA BAR)"/>
    <n v="1"/>
    <x v="19"/>
  </r>
  <r>
    <d v="2024-10-01T00:00:00"/>
    <s v="9989010878"/>
    <s v="GATHER"/>
    <n v="2"/>
    <x v="1"/>
  </r>
  <r>
    <d v="2024-10-01T00:00:00"/>
    <s v="9989010878"/>
    <s v="GATHER"/>
    <n v="2"/>
    <x v="20"/>
  </r>
  <r>
    <d v="2024-10-01T00:00:00"/>
    <s v="9989010878"/>
    <s v="GATHER"/>
    <n v="1"/>
    <x v="11"/>
  </r>
  <r>
    <d v="2024-10-01T00:00:00"/>
    <s v="9989010879"/>
    <s v="MISSOURI LOUNGE &amp; CAFE"/>
    <n v="2"/>
    <x v="8"/>
  </r>
  <r>
    <d v="2024-10-01T00:00:00"/>
    <s v="9989010879"/>
    <s v="MISSOURI LOUNGE &amp; CAFE"/>
    <n v="2"/>
    <x v="21"/>
  </r>
  <r>
    <d v="2024-10-01T00:00:00"/>
    <s v="9989010879"/>
    <s v="MISSOURI LOUNGE &amp; CAFE"/>
    <n v="1"/>
    <x v="12"/>
  </r>
  <r>
    <d v="2024-10-01T00:00:00"/>
    <s v="9989010879"/>
    <s v="MISSOURI LOUNGE &amp; CAFE"/>
    <n v="1"/>
    <x v="18"/>
  </r>
  <r>
    <d v="2024-10-01T00:00:00"/>
    <s v="9989010879"/>
    <s v="MISSOURI LOUNGE &amp; CAFE"/>
    <n v="1"/>
    <x v="15"/>
  </r>
  <r>
    <d v="2024-10-01T00:00:00"/>
    <s v="9989010879"/>
    <s v="MISSOURI LOUNGE &amp; CAFE"/>
    <n v="1"/>
    <x v="10"/>
  </r>
  <r>
    <d v="2024-10-01T00:00:00"/>
    <s v="9989010879"/>
    <s v="MISSOURI LOUNGE &amp; CAFE"/>
    <n v="1"/>
    <x v="22"/>
  </r>
  <r>
    <d v="2024-10-01T00:00:00"/>
    <s v="9989010879"/>
    <s v="MISSOURI LOUNGE &amp; CAFE"/>
    <n v="1"/>
    <x v="14"/>
  </r>
  <r>
    <d v="2024-10-01T00:00:00"/>
    <s v="9989010880"/>
    <s v="STARBIRD CHICKEN - MARINA DEL REY"/>
    <n v="1"/>
    <x v="15"/>
  </r>
  <r>
    <d v="2024-10-01T00:00:00"/>
    <s v="9989010880"/>
    <s v="STARBIRD CHICKEN - MARINA DEL REY"/>
    <n v="1"/>
    <x v="5"/>
  </r>
  <r>
    <d v="2024-10-01T00:00:00"/>
    <s v="9989010880"/>
    <s v="STARBIRD CHICKEN - MARINA DEL REY"/>
    <n v="1"/>
    <x v="10"/>
  </r>
  <r>
    <d v="2024-10-01T00:00:00"/>
    <s v="9989010880"/>
    <s v="STARBIRD CHICKEN - MARINA DEL REY"/>
    <n v="1"/>
    <x v="17"/>
  </r>
  <r>
    <d v="2024-10-01T00:00:00"/>
    <s v="9989010880"/>
    <s v="STARBIRD CHICKEN - MARINA DEL REY"/>
    <n v="1"/>
    <x v="4"/>
  </r>
  <r>
    <d v="2024-10-01T00:00:00"/>
    <s v="9989010880"/>
    <s v="STARBIRD CHICKEN - MARINA DEL REY"/>
    <n v="1"/>
    <x v="1"/>
  </r>
  <r>
    <d v="2024-10-01T00:00:00"/>
    <s v="9989010880"/>
    <s v="STARBIRD CHICKEN - MARINA DEL REY"/>
    <n v="1"/>
    <x v="3"/>
  </r>
  <r>
    <d v="2024-10-01T00:00:00"/>
    <s v="9989010881"/>
    <s v="THE MELT (7TH @ FIG)"/>
    <n v="4"/>
    <x v="8"/>
  </r>
  <r>
    <d v="2024-10-01T00:00:00"/>
    <s v="9989010881"/>
    <s v="THE MELT (7TH @ FIG)"/>
    <n v="2"/>
    <x v="16"/>
  </r>
  <r>
    <d v="2024-10-01T00:00:00"/>
    <s v="9989010881"/>
    <s v="THE MELT (7TH @ FIG)"/>
    <n v="2"/>
    <x v="12"/>
  </r>
  <r>
    <d v="2024-10-01T00:00:00"/>
    <s v="9989010881"/>
    <s v="THE MELT (7TH @ FIG)"/>
    <n v="2"/>
    <x v="9"/>
  </r>
  <r>
    <d v="2024-10-01T00:00:00"/>
    <s v="9989010881"/>
    <s v="THE MELT (7TH @ FIG)"/>
    <n v="1"/>
    <x v="5"/>
  </r>
  <r>
    <d v="2024-10-01T00:00:00"/>
    <s v="9989010882"/>
    <s v="THE LODGE"/>
    <n v="1"/>
    <x v="18"/>
  </r>
  <r>
    <d v="2024-10-01T00:00:00"/>
    <s v="9989010882"/>
    <s v="THE LODGE"/>
    <n v="1"/>
    <x v="10"/>
  </r>
  <r>
    <d v="2024-10-01T00:00:00"/>
    <s v="9989010882"/>
    <s v="THE LODGE"/>
    <n v="1"/>
    <x v="15"/>
  </r>
  <r>
    <d v="2024-10-01T00:00:00"/>
    <s v="9989010883"/>
    <s v="STARBIRD CHICKEN - FAIRFAX"/>
    <n v="2"/>
    <x v="8"/>
  </r>
  <r>
    <d v="2024-10-01T00:00:00"/>
    <s v="9989010883"/>
    <s v="STARBIRD CHICKEN - FAIRFAX"/>
    <n v="1"/>
    <x v="10"/>
  </r>
  <r>
    <d v="2024-10-01T00:00:00"/>
    <s v="9989010883"/>
    <s v="STARBIRD CHICKEN - FAIRFAX"/>
    <n v="1"/>
    <x v="23"/>
  </r>
  <r>
    <d v="2024-10-01T00:00:00"/>
    <s v="9989010883"/>
    <s v="STARBIRD CHICKEN - FAIRFAX"/>
    <n v="1"/>
    <x v="4"/>
  </r>
  <r>
    <d v="2024-10-01T00:00:00"/>
    <s v="9989010884"/>
    <s v="THE MELT (WEST HOLLYWOOD)"/>
    <n v="1"/>
    <x v="16"/>
  </r>
  <r>
    <d v="2024-10-01T00:00:00"/>
    <s v="9989010884"/>
    <s v="THE MELT (WEST HOLLYWOOD)"/>
    <n v="1"/>
    <x v="8"/>
  </r>
  <r>
    <d v="2024-10-01T00:00:00"/>
    <s v="9989010884"/>
    <s v="THE MELT (WEST HOLLYWOOD)"/>
    <n v="1"/>
    <x v="15"/>
  </r>
  <r>
    <d v="2024-10-01T00:00:00"/>
    <s v="9989010884"/>
    <s v="THE MELT (WEST HOLLYWOOD)"/>
    <n v="2"/>
    <x v="5"/>
  </r>
  <r>
    <d v="2024-10-02T00:00:00"/>
    <s v="9989010889"/>
    <s v="CANYON CLUB BREWERY"/>
    <n v="1"/>
    <x v="8"/>
  </r>
  <r>
    <d v="2024-10-02T00:00:00"/>
    <s v="9989010889"/>
    <s v="CANYON CLUB BREWERY"/>
    <n v="2"/>
    <x v="7"/>
  </r>
  <r>
    <d v="2024-10-02T00:00:00"/>
    <s v="9989010889"/>
    <s v="CANYON CLUB BREWERY"/>
    <n v="1"/>
    <x v="10"/>
  </r>
  <r>
    <d v="2024-10-02T00:00:00"/>
    <s v="9989010890"/>
    <s v="HEADLANDS BREWING - LAFAYETTE"/>
    <n v="3"/>
    <x v="8"/>
  </r>
  <r>
    <d v="2024-10-02T00:00:00"/>
    <s v="9989010890"/>
    <s v="HEADLANDS BREWING - LAFAYETTE"/>
    <n v="2"/>
    <x v="24"/>
  </r>
  <r>
    <d v="2024-10-02T00:00:00"/>
    <s v="9989010890"/>
    <s v="HEADLANDS BREWING - LAFAYETTE"/>
    <n v="1"/>
    <x v="12"/>
  </r>
  <r>
    <d v="2024-10-02T00:00:00"/>
    <s v="9989010890"/>
    <s v="HEADLANDS BREWING - LAFAYETTE"/>
    <n v="1"/>
    <x v="5"/>
  </r>
  <r>
    <d v="2024-10-02T00:00:00"/>
    <s v="9989010891"/>
    <s v="BEST WESTERN EL RANCHO INN"/>
    <n v="2"/>
    <x v="21"/>
  </r>
  <r>
    <d v="2024-10-02T00:00:00"/>
    <s v="9989010891"/>
    <s v="BEST WESTERN EL RANCHO INN"/>
    <n v="2"/>
    <x v="25"/>
  </r>
  <r>
    <d v="2024-10-02T00:00:00"/>
    <s v="9989010891"/>
    <s v="BEST WESTERN EL RANCHO INN"/>
    <n v="1"/>
    <x v="14"/>
  </r>
  <r>
    <d v="2024-10-02T00:00:00"/>
    <s v="9989010892"/>
    <s v="LUNA LOCA (JAINS FOODS)"/>
    <n v="1"/>
    <x v="8"/>
  </r>
  <r>
    <d v="2024-10-02T00:00:00"/>
    <s v="9989010892"/>
    <s v="LUNA LOCA (JAINS FOODS)"/>
    <n v="1"/>
    <x v="15"/>
  </r>
  <r>
    <d v="2024-10-02T00:00:00"/>
    <s v="9989010892"/>
    <s v="LUNA LOCA (JAINS FOODS)"/>
    <n v="1"/>
    <x v="5"/>
  </r>
  <r>
    <d v="2024-10-02T00:00:00"/>
    <s v="9989010893"/>
    <s v="STARBIRD CHICKEN - FOSTER CITY"/>
    <n v="4"/>
    <x v="8"/>
  </r>
  <r>
    <d v="2024-10-02T00:00:00"/>
    <s v="9989010893"/>
    <s v="STARBIRD CHICKEN - FOSTER CITY"/>
    <n v="1"/>
    <x v="15"/>
  </r>
  <r>
    <d v="2024-10-02T00:00:00"/>
    <s v="9989010893"/>
    <s v="STARBIRD CHICKEN - FOSTER CITY"/>
    <n v="1"/>
    <x v="5"/>
  </r>
  <r>
    <d v="2024-10-02T00:00:00"/>
    <s v="9989010893"/>
    <s v="STARBIRD CHICKEN - FOSTER CITY"/>
    <n v="2"/>
    <x v="17"/>
  </r>
  <r>
    <d v="2024-10-02T00:00:00"/>
    <s v="9989010893"/>
    <s v="STARBIRD CHICKEN - FOSTER CITY"/>
    <n v="1"/>
    <x v="23"/>
  </r>
  <r>
    <d v="2024-10-02T00:00:00"/>
    <s v="9989010893"/>
    <s v="STARBIRD CHICKEN - FOSTER CITY"/>
    <n v="2"/>
    <x v="1"/>
  </r>
  <r>
    <d v="2024-10-02T00:00:00"/>
    <s v="9989010893"/>
    <s v="STARBIRD CHICKEN - FOSTER CITY"/>
    <n v="2"/>
    <x v="11"/>
  </r>
  <r>
    <d v="2024-10-02T00:00:00"/>
    <s v="9989010895"/>
    <s v="STARBIRD CHICKEN - PLEASANTON"/>
    <n v="2"/>
    <x v="8"/>
  </r>
  <r>
    <d v="2024-10-02T00:00:00"/>
    <s v="9989010895"/>
    <s v="STARBIRD CHICKEN - PLEASANTON"/>
    <n v="2"/>
    <x v="15"/>
  </r>
  <r>
    <d v="2024-10-02T00:00:00"/>
    <s v="9989010895"/>
    <s v="STARBIRD CHICKEN - PLEASANTON"/>
    <n v="2"/>
    <x v="12"/>
  </r>
  <r>
    <d v="2024-10-02T00:00:00"/>
    <s v="9989010895"/>
    <s v="STARBIRD CHICKEN - PLEASANTON"/>
    <n v="2"/>
    <x v="5"/>
  </r>
  <r>
    <d v="2024-10-02T00:00:00"/>
    <s v="9989010895"/>
    <s v="STARBIRD CHICKEN - PLEASANTON"/>
    <n v="2"/>
    <x v="17"/>
  </r>
  <r>
    <d v="2024-10-02T00:00:00"/>
    <s v="9989010895"/>
    <s v="STARBIRD CHICKEN - PLEASANTON"/>
    <n v="1"/>
    <x v="10"/>
  </r>
  <r>
    <d v="2024-10-02T00:00:00"/>
    <s v="9989010895"/>
    <s v="STARBIRD CHICKEN - PLEASANTON"/>
    <n v="2"/>
    <x v="23"/>
  </r>
  <r>
    <d v="2024-10-02T00:00:00"/>
    <s v="9989010895"/>
    <s v="STARBIRD CHICKEN - PLEASANTON"/>
    <n v="2"/>
    <x v="1"/>
  </r>
  <r>
    <d v="2024-10-02T00:00:00"/>
    <s v="9989010895"/>
    <s v="STARBIRD CHICKEN - PLEASANTON"/>
    <n v="2"/>
    <x v="11"/>
  </r>
  <r>
    <d v="2024-10-02T00:00:00"/>
    <s v="9989010895"/>
    <s v="STARBIRD CHICKEN - PLEASANTON"/>
    <n v="2"/>
    <x v="4"/>
  </r>
  <r>
    <d v="2024-10-02T00:00:00"/>
    <s v="9989010895"/>
    <s v="STARBIRD CHICKEN - PLEASANTON"/>
    <n v="2"/>
    <x v="3"/>
  </r>
  <r>
    <d v="2024-10-02T00:00:00"/>
    <s v="9989010896"/>
    <s v="STATE OF MIND PUBLIC HOUSE REDWOOD CITY"/>
    <n v="1"/>
    <x v="8"/>
  </r>
  <r>
    <d v="2024-10-02T00:00:00"/>
    <s v="9989010896"/>
    <s v="STATE OF MIND PUBLIC HOUSE REDWOOD CITY"/>
    <n v="1"/>
    <x v="9"/>
  </r>
  <r>
    <d v="2024-10-02T00:00:00"/>
    <s v="9989010896"/>
    <s v="STATE OF MIND PUBLIC HOUSE REDWOOD CITY"/>
    <n v="1"/>
    <x v="7"/>
  </r>
  <r>
    <d v="2024-10-02T00:00:00"/>
    <s v="9989010897"/>
    <s v="CALI KID BURGERS AND SHAKES"/>
    <n v="2"/>
    <x v="8"/>
  </r>
  <r>
    <d v="2024-10-02T00:00:00"/>
    <s v="9989010897"/>
    <s v="CALI KID BURGERS AND SHAKES"/>
    <n v="1"/>
    <x v="9"/>
  </r>
  <r>
    <d v="2024-10-02T00:00:00"/>
    <s v="9989010897"/>
    <s v="CALI KID BURGERS AND SHAKES"/>
    <n v="1"/>
    <x v="5"/>
  </r>
  <r>
    <d v="2024-10-02T00:00:00"/>
    <s v="9989010897"/>
    <s v="CALI KID BURGERS AND SHAKES"/>
    <n v="1"/>
    <x v="6"/>
  </r>
  <r>
    <d v="2024-10-02T00:00:00"/>
    <s v="9989010898"/>
    <s v="LIVERMORE CASINO"/>
    <n v="1"/>
    <x v="13"/>
  </r>
  <r>
    <d v="2024-10-02T00:00:00"/>
    <s v="9989010898"/>
    <s v="LIVERMORE CASINO"/>
    <n v="2"/>
    <x v="24"/>
  </r>
  <r>
    <d v="2024-10-02T00:00:00"/>
    <s v="9989010898"/>
    <s v="LIVERMORE CASINO"/>
    <n v="1"/>
    <x v="21"/>
  </r>
  <r>
    <d v="2024-10-02T00:00:00"/>
    <s v="9989010898"/>
    <s v="LIVERMORE CASINO"/>
    <n v="1"/>
    <x v="14"/>
  </r>
  <r>
    <d v="2024-10-02T00:00:00"/>
    <s v="9989010899"/>
    <s v="STARBIRD CHICKEN - PALO ALTO"/>
    <n v="3"/>
    <x v="12"/>
  </r>
  <r>
    <d v="2024-10-02T00:00:00"/>
    <s v="9989010899"/>
    <s v="STARBIRD CHICKEN - PALO ALTO"/>
    <n v="3"/>
    <x v="23"/>
  </r>
  <r>
    <d v="2024-10-02T00:00:00"/>
    <s v="9989010899"/>
    <s v="STARBIRD CHICKEN - PALO ALTO"/>
    <n v="2"/>
    <x v="17"/>
  </r>
  <r>
    <d v="2024-10-02T00:00:00"/>
    <s v="9989010899"/>
    <s v="STARBIRD CHICKEN - PALO ALTO"/>
    <n v="2"/>
    <x v="5"/>
  </r>
  <r>
    <d v="2024-10-02T00:00:00"/>
    <s v="9989010899"/>
    <s v="STARBIRD CHICKEN - PALO ALTO"/>
    <n v="1"/>
    <x v="10"/>
  </r>
  <r>
    <d v="2024-10-02T00:00:00"/>
    <s v="9989010899"/>
    <s v="STARBIRD CHICKEN - PALO ALTO"/>
    <n v="1"/>
    <x v="15"/>
  </r>
  <r>
    <d v="2024-10-02T00:00:00"/>
    <s v="9989010899"/>
    <s v="STARBIRD CHICKEN - PALO ALTO"/>
    <n v="1"/>
    <x v="8"/>
  </r>
  <r>
    <d v="2024-10-02T00:00:00"/>
    <s v="9989010899"/>
    <s v="STARBIRD CHICKEN - PALO ALTO"/>
    <n v="1"/>
    <x v="1"/>
  </r>
  <r>
    <d v="2024-10-02T00:00:00"/>
    <s v="9989010899"/>
    <s v="STARBIRD CHICKEN - PALO ALTO"/>
    <n v="2"/>
    <x v="11"/>
  </r>
  <r>
    <d v="2024-10-02T00:00:00"/>
    <s v="9989010899"/>
    <s v="STARBIRD CHICKEN - PALO ALTO"/>
    <n v="3"/>
    <x v="3"/>
  </r>
  <r>
    <d v="2024-10-02T00:00:00"/>
    <s v="9989010899"/>
    <s v="STARBIRD CHICKEN - PALO ALTO"/>
    <n v="4"/>
    <x v="4"/>
  </r>
  <r>
    <d v="2024-10-02T00:00:00"/>
    <s v="9989010900"/>
    <s v="STATE OF MIND SLICE HOUSE  (PALO ALTO)"/>
    <n v="1"/>
    <x v="8"/>
  </r>
  <r>
    <d v="2024-10-02T00:00:00"/>
    <s v="9989010900"/>
    <s v="STATE OF MIND SLICE HOUSE  (PALO ALTO)"/>
    <n v="1"/>
    <x v="15"/>
  </r>
  <r>
    <d v="2024-10-02T00:00:00"/>
    <s v="9989010900"/>
    <s v="STATE OF MIND SLICE HOUSE  (PALO ALTO)"/>
    <n v="1"/>
    <x v="12"/>
  </r>
  <r>
    <d v="2024-10-02T00:00:00"/>
    <s v="9989010900"/>
    <s v="STATE OF MIND SLICE HOUSE  (PALO ALTO)"/>
    <n v="1"/>
    <x v="19"/>
  </r>
  <r>
    <d v="2024-10-02T00:00:00"/>
    <s v="9989010901"/>
    <s v="THE YARD"/>
    <n v="4"/>
    <x v="13"/>
  </r>
  <r>
    <d v="2024-10-02T00:00:00"/>
    <s v="9989010901"/>
    <s v="THE YARD"/>
    <n v="2"/>
    <x v="26"/>
  </r>
  <r>
    <d v="2024-10-02T00:00:00"/>
    <s v="9989010901"/>
    <s v="THE YARD"/>
    <n v="2"/>
    <x v="27"/>
  </r>
  <r>
    <d v="2024-10-02T00:00:00"/>
    <s v="9989010901"/>
    <s v="THE YARD"/>
    <n v="2"/>
    <x v="5"/>
  </r>
  <r>
    <d v="2024-10-02T00:00:00"/>
    <s v="9989010901"/>
    <s v="THE YARD"/>
    <n v="6"/>
    <x v="17"/>
  </r>
  <r>
    <d v="2024-10-02T00:00:00"/>
    <s v="9989010901"/>
    <s v="THE YARD"/>
    <n v="4"/>
    <x v="5"/>
  </r>
  <r>
    <d v="2024-10-02T00:00:00"/>
    <s v="9989010902"/>
    <s v="THE MELT (STANFORD)"/>
    <n v="3"/>
    <x v="8"/>
  </r>
  <r>
    <d v="2024-10-02T00:00:00"/>
    <s v="9989010902"/>
    <s v="THE MELT (STANFORD)"/>
    <n v="2"/>
    <x v="5"/>
  </r>
  <r>
    <d v="2024-10-02T00:00:00"/>
    <s v="9989010902"/>
    <s v="THE MELT (STANFORD)"/>
    <n v="1"/>
    <x v="9"/>
  </r>
  <r>
    <d v="2024-10-02T00:00:00"/>
    <s v="9989010902"/>
    <s v="THE MELT (STANFORD)"/>
    <n v="1"/>
    <x v="10"/>
  </r>
  <r>
    <d v="2024-10-02T00:00:00"/>
    <s v="9989010903"/>
    <s v="CROWN AND CROW"/>
    <n v="2"/>
    <x v="8"/>
  </r>
  <r>
    <d v="2024-10-02T00:00:00"/>
    <s v="9989010903"/>
    <s v="CROWN AND CROW"/>
    <n v="2"/>
    <x v="12"/>
  </r>
  <r>
    <d v="2024-10-02T00:00:00"/>
    <s v="9989010903"/>
    <s v="CROWN AND CROW"/>
    <n v="1"/>
    <x v="21"/>
  </r>
  <r>
    <d v="2024-10-02T00:00:00"/>
    <s v="9989010905"/>
    <s v="STATE OF MIND PUBLIC HOUSE &amp; PIZZERIA (LOS ALTOS)"/>
    <n v="1"/>
    <x v="15"/>
  </r>
  <r>
    <d v="2024-10-02T00:00:00"/>
    <s v="9989010905"/>
    <s v="STATE OF MIND PUBLIC HOUSE &amp; PIZZERIA (LOS ALTOS)"/>
    <n v="1"/>
    <x v="8"/>
  </r>
  <r>
    <d v="2024-10-02T00:00:00"/>
    <s v="9989010905"/>
    <s v="STATE OF MIND PUBLIC HOUSE &amp; PIZZERIA (LOS ALTOS)"/>
    <n v="1"/>
    <x v="12"/>
  </r>
  <r>
    <d v="2024-10-02T00:00:00"/>
    <s v="9989010905"/>
    <s v="STATE OF MIND PUBLIC HOUSE &amp; PIZZERIA (LOS ALTOS)"/>
    <n v="1"/>
    <x v="7"/>
  </r>
  <r>
    <d v="2024-10-02T00:00:00"/>
    <s v="9989010906"/>
    <s v="CJ SALOON (deleted)"/>
    <n v="1"/>
    <x v="8"/>
  </r>
  <r>
    <d v="2024-10-02T00:00:00"/>
    <s v="9989010906"/>
    <s v="CJ SALOON (deleted)"/>
    <n v="1"/>
    <x v="14"/>
  </r>
  <r>
    <d v="2024-10-02T00:00:00"/>
    <s v="9989010907"/>
    <s v="MONTE CARLO"/>
    <n v="2"/>
    <x v="28"/>
  </r>
  <r>
    <d v="2024-10-02T00:00:00"/>
    <s v="9989010907"/>
    <s v="MONTE CARLO"/>
    <n v="2"/>
    <x v="29"/>
  </r>
  <r>
    <d v="2024-10-02T00:00:00"/>
    <s v="9989010908"/>
    <s v="STARBIRD CHICKEN - SUNNYVALE"/>
    <n v="3"/>
    <x v="8"/>
  </r>
  <r>
    <d v="2024-10-02T00:00:00"/>
    <s v="9989010908"/>
    <s v="STARBIRD CHICKEN - SUNNYVALE"/>
    <n v="1"/>
    <x v="15"/>
  </r>
  <r>
    <d v="2024-10-02T00:00:00"/>
    <s v="9989010908"/>
    <s v="STARBIRD CHICKEN - SUNNYVALE"/>
    <n v="1"/>
    <x v="12"/>
  </r>
  <r>
    <d v="2024-10-02T00:00:00"/>
    <s v="9989010908"/>
    <s v="STARBIRD CHICKEN - SUNNYVALE"/>
    <n v="1"/>
    <x v="17"/>
  </r>
  <r>
    <d v="2024-10-02T00:00:00"/>
    <s v="9989010908"/>
    <s v="STARBIRD CHICKEN - SUNNYVALE"/>
    <n v="2"/>
    <x v="11"/>
  </r>
  <r>
    <d v="2024-10-02T00:00:00"/>
    <s v="9989010908"/>
    <s v="STARBIRD CHICKEN - SUNNYVALE"/>
    <n v="2"/>
    <x v="1"/>
  </r>
  <r>
    <d v="2024-10-02T00:00:00"/>
    <s v="9989010909"/>
    <s v="A SLICE OF NEW YORK 2"/>
    <n v="2"/>
    <x v="15"/>
  </r>
  <r>
    <d v="2024-10-02T00:00:00"/>
    <s v="9989010909"/>
    <s v="A SLICE OF NEW YORK 2"/>
    <n v="2"/>
    <x v="8"/>
  </r>
  <r>
    <d v="2024-10-02T00:00:00"/>
    <s v="9989010910"/>
    <s v="SALS BURGERS"/>
    <n v="3"/>
    <x v="1"/>
  </r>
  <r>
    <d v="2024-10-02T00:00:00"/>
    <s v="9989010910"/>
    <s v="SALS BURGERS"/>
    <n v="3"/>
    <x v="11"/>
  </r>
  <r>
    <d v="2024-10-02T00:00:00"/>
    <s v="9989010910"/>
    <s v="SALS BURGERS"/>
    <n v="1"/>
    <x v="3"/>
  </r>
  <r>
    <d v="2024-10-02T00:00:00"/>
    <s v="9989010910"/>
    <s v="SALS BURGERS"/>
    <n v="1"/>
    <x v="4"/>
  </r>
  <r>
    <d v="2024-10-02T00:00:00"/>
    <s v="9989010910"/>
    <s v="SALS BURGERS"/>
    <n v="1"/>
    <x v="20"/>
  </r>
  <r>
    <d v="2024-10-02T00:00:00"/>
    <s v="9989010910"/>
    <s v="SALS BURGERS"/>
    <n v="1"/>
    <x v="0"/>
  </r>
  <r>
    <d v="2024-10-02T00:00:00"/>
    <s v="9989010912"/>
    <s v="THE AVENUE"/>
    <n v="1"/>
    <x v="14"/>
  </r>
  <r>
    <d v="2024-10-02T00:00:00"/>
    <s v="9989010912"/>
    <s v="THE AVENUE"/>
    <n v="1"/>
    <x v="22"/>
  </r>
  <r>
    <d v="2024-10-02T00:00:00"/>
    <s v="9989010912"/>
    <s v="THE AVENUE"/>
    <n v="1"/>
    <x v="15"/>
  </r>
  <r>
    <d v="2024-10-02T00:00:00"/>
    <s v="9989010912"/>
    <s v="THE AVENUE"/>
    <n v="1"/>
    <x v="8"/>
  </r>
  <r>
    <d v="2024-10-02T00:00:00"/>
    <s v="9989010912"/>
    <s v="THE AVENUE"/>
    <n v="1"/>
    <x v="10"/>
  </r>
  <r>
    <d v="2024-10-03T00:00:00"/>
    <s v="9989010915"/>
    <s v="ROOSTER &amp; RICE"/>
    <n v="1"/>
    <x v="15"/>
  </r>
  <r>
    <d v="2024-10-03T00:00:00"/>
    <s v="9989010915"/>
    <s v="ROOSTER &amp; RICE"/>
    <n v="1"/>
    <x v="8"/>
  </r>
  <r>
    <d v="2024-10-03T00:00:00"/>
    <s v="9989010915"/>
    <s v="ROOSTER &amp; RICE"/>
    <n v="1"/>
    <x v="5"/>
  </r>
  <r>
    <d v="2024-10-03T00:00:00"/>
    <s v="9989010916"/>
    <s v="MY RADISH/BLOOM ENERGY"/>
    <n v="1"/>
    <x v="16"/>
  </r>
  <r>
    <d v="2024-10-03T00:00:00"/>
    <s v="9989010916"/>
    <s v="MY RADISH/BLOOM ENERGY"/>
    <n v="1"/>
    <x v="10"/>
  </r>
  <r>
    <d v="2024-10-03T00:00:00"/>
    <s v="9989010916"/>
    <s v="MY RADISH/BLOOM ENERGY"/>
    <n v="1"/>
    <x v="15"/>
  </r>
  <r>
    <d v="2024-10-03T00:00:00"/>
    <s v="9989010916"/>
    <s v="MY RADISH/BLOOM ENERGY"/>
    <n v="1"/>
    <x v="24"/>
  </r>
  <r>
    <d v="2024-10-03T00:00:00"/>
    <s v="9989010917"/>
    <s v="BON APPETIT - ADOBE HOOPER ST. SF"/>
    <n v="1"/>
    <x v="15"/>
  </r>
  <r>
    <d v="2024-10-03T00:00:00"/>
    <s v="9989010917"/>
    <s v="BON APPETIT - ADOBE HOOPER ST. SF"/>
    <n v="1"/>
    <x v="8"/>
  </r>
  <r>
    <d v="2024-10-03T00:00:00"/>
    <s v="9989010917"/>
    <s v="BON APPETIT - ADOBE HOOPER ST. SF"/>
    <n v="1"/>
    <x v="12"/>
  </r>
  <r>
    <d v="2024-10-03T00:00:00"/>
    <s v="9989010917"/>
    <s v="BON APPETIT - ADOBE HOOPER ST. SF"/>
    <n v="1"/>
    <x v="5"/>
  </r>
  <r>
    <d v="2024-10-03T00:00:00"/>
    <s v="9989010917"/>
    <s v="BON APPETIT - ADOBE HOOPER ST. SF"/>
    <n v="1"/>
    <x v="9"/>
  </r>
  <r>
    <d v="2024-10-03T00:00:00"/>
    <s v="9989010917"/>
    <s v="BON APPETIT - ADOBE HOOPER ST. SF"/>
    <n v="1"/>
    <x v="7"/>
  </r>
  <r>
    <d v="2024-10-03T00:00:00"/>
    <s v="9989010917"/>
    <s v="BON APPETIT - ADOBE HOOPER ST. SF"/>
    <n v="1"/>
    <x v="16"/>
  </r>
  <r>
    <d v="2024-10-03T00:00:00"/>
    <s v="9989010918"/>
    <s v="THE MELT (SANTA CLARA 0045)"/>
    <n v="2"/>
    <x v="5"/>
  </r>
  <r>
    <d v="2024-10-03T00:00:00"/>
    <s v="9989010918"/>
    <s v="THE MELT (SANTA CLARA 0045)"/>
    <n v="2"/>
    <x v="12"/>
  </r>
  <r>
    <d v="2024-10-03T00:00:00"/>
    <s v="9989010918"/>
    <s v="THE MELT (SANTA CLARA 0045)"/>
    <n v="2"/>
    <x v="15"/>
  </r>
  <r>
    <d v="2024-10-03T00:00:00"/>
    <s v="9989010918"/>
    <s v="THE MELT (SANTA CLARA 0045)"/>
    <n v="2"/>
    <x v="10"/>
  </r>
  <r>
    <d v="2024-10-03T00:00:00"/>
    <s v="9989010918"/>
    <s v="THE MELT (SANTA CLARA 0045)"/>
    <n v="2"/>
    <x v="8"/>
  </r>
  <r>
    <d v="2024-10-03T00:00:00"/>
    <s v="9989010918"/>
    <s v="THE MELT (SANTA CLARA 0045)"/>
    <n v="2"/>
    <x v="16"/>
  </r>
  <r>
    <d v="2024-10-03T00:00:00"/>
    <s v="9989010918"/>
    <s v="THE MELT (SANTA CLARA 0045)"/>
    <n v="1"/>
    <x v="9"/>
  </r>
  <r>
    <d v="2024-10-03T00:00:00"/>
    <s v="9989010920"/>
    <s v="EMMYS SPAGHETTI SHACK"/>
    <n v="3"/>
    <x v="29"/>
  </r>
  <r>
    <d v="2024-10-03T00:00:00"/>
    <s v="9989010922"/>
    <s v="ITALIAN AMERICAN SOCIAL CLUB"/>
    <n v="1"/>
    <x v="8"/>
  </r>
  <r>
    <d v="2024-10-03T00:00:00"/>
    <s v="9989010922"/>
    <s v="ITALIAN AMERICAN SOCIAL CLUB"/>
    <n v="1"/>
    <x v="15"/>
  </r>
  <r>
    <d v="2024-10-03T00:00:00"/>
    <s v="9989010922"/>
    <s v="ITALIAN AMERICAN SOCIAL CLUB"/>
    <n v="1"/>
    <x v="12"/>
  </r>
  <r>
    <d v="2024-10-03T00:00:00"/>
    <s v="9989010922"/>
    <s v="ITALIAN AMERICAN SOCIAL CLUB"/>
    <n v="1"/>
    <x v="19"/>
  </r>
  <r>
    <d v="2024-10-03T00:00:00"/>
    <s v="9989010923"/>
    <s v="THE KYLAN BAR - FOUNTAIN HEAD BAR"/>
    <n v="1"/>
    <x v="8"/>
  </r>
  <r>
    <d v="2024-10-03T00:00:00"/>
    <s v="9989010927"/>
    <s v="EL GRANDA BEVERAGE STORE"/>
    <n v="1"/>
    <x v="8"/>
  </r>
  <r>
    <d v="2024-10-03T00:00:00"/>
    <s v="9989010927"/>
    <s v="EL GRANDA BEVERAGE STORE"/>
    <n v="1"/>
    <x v="15"/>
  </r>
  <r>
    <d v="2024-10-03T00:00:00"/>
    <s v="9989010927"/>
    <s v="EL GRANDA BEVERAGE STORE"/>
    <n v="1"/>
    <x v="5"/>
  </r>
  <r>
    <d v="2024-10-03T00:00:00"/>
    <s v="9989010927"/>
    <s v="EL GRANDA BEVERAGE STORE"/>
    <n v="1"/>
    <x v="16"/>
  </r>
  <r>
    <d v="2024-10-03T00:00:00"/>
    <s v="9989010927"/>
    <s v="EL GRANDA BEVERAGE STORE"/>
    <n v="1"/>
    <x v="12"/>
  </r>
  <r>
    <d v="2024-10-03T00:00:00"/>
    <s v="9989010927"/>
    <s v="EL GRANDA BEVERAGE STORE"/>
    <n v="1"/>
    <x v="29"/>
  </r>
  <r>
    <d v="2024-10-03T00:00:00"/>
    <s v="9989010927"/>
    <s v="EL GRANDA BEVERAGE STORE"/>
    <n v="1"/>
    <x v="9"/>
  </r>
  <r>
    <d v="2024-10-03T00:00:00"/>
    <s v="9989010927"/>
    <s v="EL GRANDA BEVERAGE STORE"/>
    <n v="1"/>
    <x v="30"/>
  </r>
  <r>
    <d v="2024-10-03T00:00:00"/>
    <s v="9989010928"/>
    <s v="STARBIRD CHICKEN - SAN JOSE"/>
    <n v="1"/>
    <x v="15"/>
  </r>
  <r>
    <d v="2024-10-03T00:00:00"/>
    <s v="9989010928"/>
    <s v="STARBIRD CHICKEN - SAN JOSE"/>
    <n v="1"/>
    <x v="8"/>
  </r>
  <r>
    <d v="2024-10-03T00:00:00"/>
    <s v="9989010928"/>
    <s v="STARBIRD CHICKEN - SAN JOSE"/>
    <n v="1"/>
    <x v="5"/>
  </r>
  <r>
    <d v="2024-10-03T00:00:00"/>
    <s v="9989010928"/>
    <s v="STARBIRD CHICKEN - SAN JOSE"/>
    <n v="1"/>
    <x v="1"/>
  </r>
  <r>
    <d v="2024-10-03T00:00:00"/>
    <s v="9989010928"/>
    <s v="STARBIRD CHICKEN - SAN JOSE"/>
    <n v="1"/>
    <x v="11"/>
  </r>
  <r>
    <d v="2024-10-03T00:00:00"/>
    <s v="9989010930"/>
    <s v="FIDDLERS GREEN"/>
    <n v="1"/>
    <x v="18"/>
  </r>
  <r>
    <d v="2024-10-03T00:00:00"/>
    <s v="9989010930"/>
    <s v="FIDDLERS GREEN"/>
    <n v="1"/>
    <x v="24"/>
  </r>
  <r>
    <d v="2024-10-03T00:00:00"/>
    <s v="9989010930"/>
    <s v="FIDDLERS GREEN"/>
    <n v="1"/>
    <x v="15"/>
  </r>
  <r>
    <d v="2024-10-03T00:00:00"/>
    <s v="9989010930"/>
    <s v="FIDDLERS GREEN"/>
    <n v="1"/>
    <x v="8"/>
  </r>
  <r>
    <d v="2024-10-03T00:00:00"/>
    <s v="9989010930"/>
    <s v="FIDDLERS GREEN"/>
    <n v="1"/>
    <x v="12"/>
  </r>
  <r>
    <d v="2024-10-03T00:00:00"/>
    <s v="9989010931"/>
    <s v="PHILOMENA PIZZA"/>
    <n v="1"/>
    <x v="7"/>
  </r>
  <r>
    <d v="2024-10-03T00:00:00"/>
    <s v="9989010931"/>
    <s v="PHILOMENA PIZZA"/>
    <n v="1"/>
    <x v="12"/>
  </r>
  <r>
    <d v="2024-10-03T00:00:00"/>
    <s v="9989010931"/>
    <s v="PHILOMENA PIZZA"/>
    <n v="1"/>
    <x v="24"/>
  </r>
  <r>
    <d v="2024-10-03T00:00:00"/>
    <s v="9989010932"/>
    <s v="BRONCO BILLY'S PIZZA PALACE FREMONT NILES"/>
    <n v="3"/>
    <x v="13"/>
  </r>
  <r>
    <d v="2024-10-03T00:00:00"/>
    <s v="9989010932"/>
    <s v="BRONCO BILLY'S PIZZA PALACE FREMONT NILES"/>
    <n v="2"/>
    <x v="26"/>
  </r>
  <r>
    <d v="2024-10-03T00:00:00"/>
    <s v="9989010932"/>
    <s v="BRONCO BILLY'S PIZZA PALACE FREMONT NILES"/>
    <n v="1"/>
    <x v="27"/>
  </r>
  <r>
    <d v="2024-10-03T00:00:00"/>
    <s v="9989010932"/>
    <s v="BRONCO BILLY'S PIZZA PALACE FREMONT NILES"/>
    <n v="3"/>
    <x v="5"/>
  </r>
  <r>
    <d v="2024-10-03T00:00:00"/>
    <s v="9989010932"/>
    <s v="BRONCO BILLY'S PIZZA PALACE FREMONT NILES"/>
    <n v="2"/>
    <x v="7"/>
  </r>
  <r>
    <d v="2024-10-03T00:00:00"/>
    <s v="9989010932"/>
    <s v="BRONCO BILLY'S PIZZA PALACE FREMONT NILES"/>
    <n v="1"/>
    <x v="9"/>
  </r>
  <r>
    <d v="2024-10-03T00:00:00"/>
    <s v="9989010932"/>
    <s v="BRONCO BILLY'S PIZZA PALACE FREMONT NILES"/>
    <n v="1"/>
    <x v="30"/>
  </r>
  <r>
    <d v="2024-10-03T00:00:00"/>
    <s v="9989010934"/>
    <s v="MONROE"/>
    <n v="1"/>
    <x v="14"/>
  </r>
  <r>
    <d v="2024-10-03T00:00:00"/>
    <s v="9989010934"/>
    <s v="MONROE"/>
    <n v="1"/>
    <x v="28"/>
  </r>
  <r>
    <d v="2024-10-03T00:00:00"/>
    <s v="9989010934"/>
    <s v="MONROE"/>
    <n v="1"/>
    <x v="18"/>
  </r>
  <r>
    <d v="2024-10-03T00:00:00"/>
    <s v="9989010934"/>
    <s v="MONROE"/>
    <n v="1"/>
    <x v="28"/>
  </r>
  <r>
    <d v="2024-10-03T00:00:00"/>
    <s v="9989010935"/>
    <s v="SPORTS PAGE"/>
    <n v="1"/>
    <x v="21"/>
  </r>
  <r>
    <d v="2024-10-03T00:00:00"/>
    <s v="9989010935"/>
    <s v="SPORTS PAGE"/>
    <n v="1"/>
    <x v="14"/>
  </r>
  <r>
    <d v="2024-10-03T00:00:00"/>
    <s v="9989010935"/>
    <s v="SPORTS PAGE"/>
    <n v="1"/>
    <x v="12"/>
  </r>
  <r>
    <d v="2024-10-03T00:00:00"/>
    <s v="9989010937"/>
    <s v="SCOLARIS ON PARK ST"/>
    <n v="8"/>
    <x v="1"/>
  </r>
  <r>
    <d v="2024-10-03T00:00:00"/>
    <s v="9989010937"/>
    <s v="SCOLARIS ON PARK ST"/>
    <n v="5"/>
    <x v="11"/>
  </r>
  <r>
    <d v="2024-10-03T00:00:00"/>
    <s v="9989010937"/>
    <s v="SCOLARIS ON PARK ST"/>
    <n v="5"/>
    <x v="4"/>
  </r>
  <r>
    <d v="2024-10-03T00:00:00"/>
    <s v="9989010937"/>
    <s v="SCOLARIS ON PARK ST"/>
    <n v="5"/>
    <x v="3"/>
  </r>
  <r>
    <d v="2024-10-03T00:00:00"/>
    <s v="9989010937"/>
    <s v="SCOLARIS ON PARK ST"/>
    <n v="2"/>
    <x v="0"/>
  </r>
  <r>
    <d v="2024-10-03T00:00:00"/>
    <s v="9989010937"/>
    <s v="SCOLARIS ON PARK ST"/>
    <n v="2"/>
    <x v="2"/>
  </r>
  <r>
    <d v="2024-10-03T00:00:00"/>
    <s v="9989010938"/>
    <s v="ALAMEDA COMEDY CLUB (deleted)"/>
    <n v="1"/>
    <x v="8"/>
  </r>
  <r>
    <d v="2024-10-03T00:00:00"/>
    <s v="9989010938"/>
    <s v="ALAMEDA COMEDY CLUB (deleted)"/>
    <n v="1"/>
    <x v="18"/>
  </r>
  <r>
    <d v="2024-10-03T00:00:00"/>
    <s v="9989010938"/>
    <s v="ALAMEDA COMEDY CLUB (deleted)"/>
    <n v="1"/>
    <x v="12"/>
  </r>
  <r>
    <d v="2024-10-03T00:00:00"/>
    <s v="9989010938"/>
    <s v="ALAMEDA COMEDY CLUB (deleted)"/>
    <n v="1"/>
    <x v="19"/>
  </r>
  <r>
    <d v="2024-10-04T00:00:00"/>
    <s v="9989010939"/>
    <s v="TRABOCCO"/>
    <n v="1"/>
    <x v="13"/>
  </r>
  <r>
    <d v="2024-10-04T00:00:00"/>
    <s v="9989010939"/>
    <s v="TRABOCCO"/>
    <n v="1"/>
    <x v="5"/>
  </r>
  <r>
    <d v="2024-10-04T00:00:00"/>
    <s v="9989010939"/>
    <s v="TRABOCCO"/>
    <n v="1"/>
    <x v="19"/>
  </r>
  <r>
    <d v="2024-10-04T00:00:00"/>
    <s v="9989010939"/>
    <s v="TRABOCCO"/>
    <n v="1"/>
    <x v="15"/>
  </r>
  <r>
    <d v="2024-10-04T00:00:00"/>
    <s v="9989010939"/>
    <s v="TRABOCCO"/>
    <n v="1"/>
    <x v="12"/>
  </r>
  <r>
    <d v="2024-10-04T00:00:00"/>
    <s v="9989010939"/>
    <s v="TRABOCCO"/>
    <n v="1"/>
    <x v="10"/>
  </r>
  <r>
    <d v="2024-10-04T00:00:00"/>
    <s v="9989010940"/>
    <s v="HELLO STRANGER"/>
    <n v="1"/>
    <x v="13"/>
  </r>
  <r>
    <d v="2024-10-04T00:00:00"/>
    <s v="9989010940"/>
    <s v="HELLO STRANGER"/>
    <n v="2"/>
    <x v="28"/>
  </r>
  <r>
    <d v="2024-10-04T00:00:00"/>
    <s v="9989010940"/>
    <s v="HELLO STRANGER"/>
    <n v="1"/>
    <x v="14"/>
  </r>
  <r>
    <d v="2024-10-04T00:00:00"/>
    <s v="9989010940"/>
    <s v="HELLO STRANGER"/>
    <n v="1"/>
    <x v="10"/>
  </r>
  <r>
    <d v="2024-10-04T00:00:00"/>
    <s v="9989010941"/>
    <s v="2101 CLUB"/>
    <n v="2"/>
    <x v="14"/>
  </r>
  <r>
    <d v="2024-10-04T00:00:00"/>
    <s v="9989010941"/>
    <s v="2101 CLUB"/>
    <n v="1"/>
    <x v="12"/>
  </r>
  <r>
    <d v="2024-10-04T00:00:00"/>
    <s v="9989010942"/>
    <s v="EL TENAMPA"/>
    <n v="3"/>
    <x v="28"/>
  </r>
  <r>
    <d v="2024-10-04T00:00:00"/>
    <s v="9989010942"/>
    <s v="EL TENAMPA"/>
    <n v="2"/>
    <x v="14"/>
  </r>
  <r>
    <d v="2024-10-04T00:00:00"/>
    <s v="9989010943"/>
    <s v="STARBIRD CHICKEN - CORTE MADERA"/>
    <n v="1"/>
    <x v="15"/>
  </r>
  <r>
    <d v="2024-10-04T00:00:00"/>
    <s v="9989010943"/>
    <s v="STARBIRD CHICKEN - CORTE MADERA"/>
    <n v="1"/>
    <x v="8"/>
  </r>
  <r>
    <d v="2024-10-04T00:00:00"/>
    <s v="9989010943"/>
    <s v="STARBIRD CHICKEN - CORTE MADERA"/>
    <n v="1"/>
    <x v="12"/>
  </r>
  <r>
    <d v="2024-10-04T00:00:00"/>
    <s v="9989010943"/>
    <s v="STARBIRD CHICKEN - CORTE MADERA"/>
    <n v="1"/>
    <x v="5"/>
  </r>
  <r>
    <d v="2024-10-04T00:00:00"/>
    <s v="9989010943"/>
    <s v="STARBIRD CHICKEN - CORTE MADERA"/>
    <n v="1"/>
    <x v="23"/>
  </r>
  <r>
    <d v="2024-10-04T00:00:00"/>
    <s v="9989010943"/>
    <s v="STARBIRD CHICKEN - CORTE MADERA"/>
    <n v="1"/>
    <x v="17"/>
  </r>
  <r>
    <d v="2024-10-04T00:00:00"/>
    <s v="9989010943"/>
    <s v="STARBIRD CHICKEN - CORTE MADERA"/>
    <n v="1"/>
    <x v="11"/>
  </r>
  <r>
    <d v="2024-10-04T00:00:00"/>
    <s v="9989010943"/>
    <s v="STARBIRD CHICKEN - CORTE MADERA"/>
    <n v="1"/>
    <x v="1"/>
  </r>
  <r>
    <d v="2024-10-04T00:00:00"/>
    <s v="9989010943"/>
    <s v="STARBIRD CHICKEN - CORTE MADERA"/>
    <n v="1"/>
    <x v="3"/>
  </r>
  <r>
    <d v="2024-10-04T00:00:00"/>
    <s v="9989010943"/>
    <s v="STARBIRD CHICKEN - CORTE MADERA"/>
    <n v="1"/>
    <x v="4"/>
  </r>
  <r>
    <d v="2024-10-04T00:00:00"/>
    <s v="9989010944"/>
    <s v="THE JUNCTION"/>
    <n v="2"/>
    <x v="8"/>
  </r>
  <r>
    <d v="2024-10-04T00:00:00"/>
    <s v="9989010944"/>
    <s v="THE JUNCTION"/>
    <n v="2"/>
    <x v="7"/>
  </r>
  <r>
    <d v="2024-10-04T00:00:00"/>
    <s v="9989010944"/>
    <s v="THE JUNCTION"/>
    <n v="2"/>
    <x v="25"/>
  </r>
  <r>
    <d v="2024-10-04T00:00:00"/>
    <s v="9989010944"/>
    <s v="THE JUNCTION"/>
    <n v="1"/>
    <x v="15"/>
  </r>
  <r>
    <d v="2024-10-04T00:00:00"/>
    <s v="9989010944"/>
    <s v="THE JUNCTION"/>
    <n v="1"/>
    <x v="24"/>
  </r>
  <r>
    <d v="2024-10-04T00:00:00"/>
    <s v="9989010944"/>
    <s v="THE JUNCTION"/>
    <n v="1"/>
    <x v="12"/>
  </r>
  <r>
    <d v="2024-10-04T00:00:00"/>
    <s v="9989010947"/>
    <s v="TRIPLE ROCK BREWING COMPANY"/>
    <n v="1"/>
    <x v="24"/>
  </r>
  <r>
    <d v="2024-10-04T00:00:00"/>
    <s v="9989010947"/>
    <s v="TRIPLE ROCK BREWING COMPANY"/>
    <n v="1"/>
    <x v="7"/>
  </r>
  <r>
    <d v="2024-10-04T00:00:00"/>
    <s v="9989010947"/>
    <s v="TRIPLE ROCK BREWING COMPANY"/>
    <n v="1"/>
    <x v="15"/>
  </r>
  <r>
    <d v="2024-10-04T00:00:00"/>
    <s v="9989010947"/>
    <s v="TRIPLE ROCK BREWING COMPANY"/>
    <n v="2"/>
    <x v="10"/>
  </r>
  <r>
    <d v="2024-10-04T00:00:00"/>
    <s v="9989010948"/>
    <s v="JUPITER"/>
    <n v="2"/>
    <x v="26"/>
  </r>
  <r>
    <d v="2024-10-04T00:00:00"/>
    <s v="9989010948"/>
    <s v="JUPITER"/>
    <n v="1"/>
    <x v="13"/>
  </r>
  <r>
    <d v="2024-10-04T00:00:00"/>
    <s v="9989010948"/>
    <s v="JUPITER"/>
    <n v="1"/>
    <x v="5"/>
  </r>
  <r>
    <d v="2024-10-04T00:00:00"/>
    <s v="9989010949"/>
    <s v="THE NEW PARKWAY"/>
    <n v="2"/>
    <x v="8"/>
  </r>
  <r>
    <d v="2024-10-04T00:00:00"/>
    <s v="9989010949"/>
    <s v="THE NEW PARKWAY"/>
    <n v="2"/>
    <x v="15"/>
  </r>
  <r>
    <d v="2024-10-04T00:00:00"/>
    <s v="9989010950"/>
    <s v="TOP DOG #3 LAK"/>
    <n v="2"/>
    <x v="13"/>
  </r>
  <r>
    <d v="2024-10-04T00:00:00"/>
    <s v="9989010950"/>
    <s v="TOP DOG #3 LAK"/>
    <n v="1"/>
    <x v="26"/>
  </r>
  <r>
    <d v="2024-10-04T00:00:00"/>
    <s v="9989010950"/>
    <s v="TOP DOG #3 LAK"/>
    <n v="3"/>
    <x v="5"/>
  </r>
  <r>
    <d v="2024-10-04T00:00:00"/>
    <s v="9989010950"/>
    <s v="TOP DOG #3 LAK"/>
    <n v="2"/>
    <x v="7"/>
  </r>
  <r>
    <d v="2024-10-04T00:00:00"/>
    <s v="9989010950"/>
    <s v="TOP DOG #3 LAK"/>
    <n v="1"/>
    <x v="29"/>
  </r>
  <r>
    <d v="2024-10-04T00:00:00"/>
    <s v="9989010950"/>
    <s v="TOP DOG #3 LAK"/>
    <n v="3"/>
    <x v="9"/>
  </r>
  <r>
    <d v="2024-10-04T00:00:00"/>
    <s v="9989010954"/>
    <s v="CAFE JOLIE"/>
    <n v="15"/>
    <x v="11"/>
  </r>
  <r>
    <d v="2024-10-04T00:00:00"/>
    <s v="9989010954"/>
    <s v="CAFE JOLIE"/>
    <n v="20"/>
    <x v="1"/>
  </r>
  <r>
    <d v="2024-10-04T00:00:00"/>
    <s v="9989010954"/>
    <s v="CAFE JOLIE"/>
    <n v="20"/>
    <x v="2"/>
  </r>
  <r>
    <d v="2024-10-04T00:00:00"/>
    <s v="9989010954"/>
    <s v="CAFE JOLIE"/>
    <n v="20"/>
    <x v="3"/>
  </r>
  <r>
    <d v="2024-10-04T00:00:00"/>
    <s v="9989010955"/>
    <s v="ALMANAC"/>
    <n v="3"/>
    <x v="1"/>
  </r>
  <r>
    <d v="2024-10-04T00:00:00"/>
    <s v="9989010955"/>
    <s v="ALMANAC"/>
    <n v="3"/>
    <x v="4"/>
  </r>
  <r>
    <d v="2024-10-04T00:00:00"/>
    <s v="9989010955"/>
    <s v="ALMANAC"/>
    <n v="3"/>
    <x v="3"/>
  </r>
  <r>
    <d v="2024-10-04T00:00:00"/>
    <s v="9989010955"/>
    <s v="ALMANAC"/>
    <n v="3"/>
    <x v="0"/>
  </r>
  <r>
    <d v="2024-10-07T00:00:00"/>
    <s v="9989010957"/>
    <s v="THE DEAD FISH"/>
    <n v="7"/>
    <x v="24"/>
  </r>
  <r>
    <d v="2024-10-07T00:00:00"/>
    <s v="9989010958"/>
    <s v="THE MELT (80 GRAND)"/>
    <n v="1"/>
    <x v="8"/>
  </r>
  <r>
    <d v="2024-10-07T00:00:00"/>
    <s v="9989010958"/>
    <s v="THE MELT (80 GRAND)"/>
    <n v="1"/>
    <x v="15"/>
  </r>
  <r>
    <d v="2024-10-07T00:00:00"/>
    <s v="9989010958"/>
    <s v="THE MELT (80 GRAND)"/>
    <n v="1"/>
    <x v="12"/>
  </r>
  <r>
    <d v="2024-10-07T00:00:00"/>
    <s v="9989010958"/>
    <s v="THE MELT (80 GRAND)"/>
    <n v="1"/>
    <x v="5"/>
  </r>
  <r>
    <d v="2024-10-07T00:00:00"/>
    <s v="9989010958"/>
    <s v="THE MELT (80 GRAND)"/>
    <n v="1"/>
    <x v="9"/>
  </r>
  <r>
    <d v="2024-10-08T00:00:00"/>
    <s v="9989010960"/>
    <s v="DRAKES DEALERSHIP"/>
    <n v="2"/>
    <x v="10"/>
  </r>
  <r>
    <d v="2024-10-08T00:00:00"/>
    <s v="9989010960"/>
    <s v="DRAKES DEALERSHIP"/>
    <n v="2"/>
    <x v="13"/>
  </r>
  <r>
    <d v="2024-10-08T00:00:00"/>
    <s v="9989010961"/>
    <s v="THE MELT (80 GRAND)"/>
    <n v="3"/>
    <x v="8"/>
  </r>
  <r>
    <d v="2024-10-08T00:00:00"/>
    <s v="9989010961"/>
    <s v="THE MELT (80 GRAND)"/>
    <n v="1"/>
    <x v="15"/>
  </r>
  <r>
    <d v="2024-10-08T00:00:00"/>
    <s v="9989010961"/>
    <s v="THE MELT (80 GRAND)"/>
    <n v="1"/>
    <x v="12"/>
  </r>
  <r>
    <d v="2024-10-08T00:00:00"/>
    <s v="9989010961"/>
    <s v="THE MELT (80 GRAND)"/>
    <n v="1"/>
    <x v="9"/>
  </r>
  <r>
    <d v="2024-10-08T00:00:00"/>
    <s v="9989010961"/>
    <s v="THE MELT (80 GRAND)"/>
    <n v="1"/>
    <x v="5"/>
  </r>
  <r>
    <d v="2024-10-08T00:00:00"/>
    <s v="9989010961"/>
    <s v="THE MELT (80 GRAND)"/>
    <n v="1"/>
    <x v="10"/>
  </r>
  <r>
    <d v="2024-10-08T00:00:00"/>
    <s v="9989010962"/>
    <s v="PIXAR ANIMATION STUDIOS"/>
    <n v="1"/>
    <x v="12"/>
  </r>
  <r>
    <d v="2024-10-08T00:00:00"/>
    <s v="9989010962"/>
    <s v="PIXAR ANIMATION STUDIOS"/>
    <n v="3"/>
    <x v="7"/>
  </r>
  <r>
    <d v="2024-10-08T00:00:00"/>
    <s v="9989010963"/>
    <s v="JUANS PLACE"/>
    <n v="1"/>
    <x v="27"/>
  </r>
  <r>
    <d v="2024-10-08T00:00:00"/>
    <s v="9989010963"/>
    <s v="JUANS PLACE"/>
    <n v="1"/>
    <x v="13"/>
  </r>
  <r>
    <d v="2024-10-08T00:00:00"/>
    <s v="9989010963"/>
    <s v="JUANS PLACE"/>
    <n v="1"/>
    <x v="9"/>
  </r>
  <r>
    <d v="2024-10-08T00:00:00"/>
    <s v="9989010963"/>
    <s v="JUANS PLACE"/>
    <n v="1"/>
    <x v="30"/>
  </r>
  <r>
    <d v="2024-10-08T00:00:00"/>
    <s v="9989010964"/>
    <s v="THE MELT (925 MARKET)"/>
    <n v="4"/>
    <x v="8"/>
  </r>
  <r>
    <d v="2024-10-08T00:00:00"/>
    <s v="9989010964"/>
    <s v="THE MELT (925 MARKET)"/>
    <n v="1"/>
    <x v="15"/>
  </r>
  <r>
    <d v="2024-10-08T00:00:00"/>
    <s v="9989010964"/>
    <s v="THE MELT (925 MARKET)"/>
    <n v="2"/>
    <x v="10"/>
  </r>
  <r>
    <d v="2024-10-08T00:00:00"/>
    <s v="9989010964"/>
    <s v="THE MELT (925 MARKET)"/>
    <n v="2"/>
    <x v="12"/>
  </r>
  <r>
    <d v="2024-10-08T00:00:00"/>
    <s v="9989010964"/>
    <s v="THE MELT (925 MARKET)"/>
    <n v="2"/>
    <x v="9"/>
  </r>
  <r>
    <d v="2024-10-08T00:00:00"/>
    <s v="9989010964"/>
    <s v="THE MELT (925 MARKET)"/>
    <n v="3"/>
    <x v="5"/>
  </r>
  <r>
    <d v="2024-10-08T00:00:00"/>
    <s v="9989010965"/>
    <s v="THE DEAD FISH"/>
    <n v="2"/>
    <x v="24"/>
  </r>
  <r>
    <d v="2024-10-08T00:00:00"/>
    <s v="9989010965"/>
    <s v="THE DEAD FISH"/>
    <n v="2"/>
    <x v="7"/>
  </r>
  <r>
    <d v="2024-10-08T00:00:00"/>
    <s v="9989010965"/>
    <s v="THE DEAD FISH"/>
    <n v="1"/>
    <x v="13"/>
  </r>
  <r>
    <d v="2024-10-08T00:00:00"/>
    <s v="9989010965"/>
    <s v="THE DEAD FISH"/>
    <n v="1"/>
    <x v="26"/>
  </r>
  <r>
    <d v="2024-10-08T00:00:00"/>
    <s v="9989010965"/>
    <s v="THE DEAD FISH"/>
    <n v="1"/>
    <x v="27"/>
  </r>
  <r>
    <d v="2024-10-08T00:00:00"/>
    <s v="9989010966"/>
    <s v="UCSF MEDICAL CENTER MISSION BAY"/>
    <n v="1"/>
    <x v="25"/>
  </r>
  <r>
    <d v="2024-10-08T00:00:00"/>
    <s v="9989010966"/>
    <s v="UCSF MEDICAL CENTER MISSION BAY"/>
    <n v="1"/>
    <x v="26"/>
  </r>
  <r>
    <d v="2024-10-08T00:00:00"/>
    <s v="9989010966"/>
    <s v="UCSF MEDICAL CENTER MISSION BAY"/>
    <n v="1"/>
    <x v="31"/>
  </r>
  <r>
    <d v="2024-10-08T00:00:00"/>
    <s v="9989010966"/>
    <s v="UCSF MEDICAL CENTER MISSION BAY"/>
    <n v="1"/>
    <x v="32"/>
  </r>
  <r>
    <d v="2024-10-08T00:00:00"/>
    <s v="9989010966"/>
    <s v="UCSF MEDICAL CENTER MISSION BAY"/>
    <n v="2"/>
    <x v="33"/>
  </r>
  <r>
    <d v="2024-10-08T00:00:00"/>
    <s v="9989010966"/>
    <s v="UCSF MEDICAL CENTER MISSION BAY"/>
    <n v="1"/>
    <x v="34"/>
  </r>
  <r>
    <d v="2024-10-08T00:00:00"/>
    <s v="9989010967"/>
    <s v="SCOMAS RESTAURANT"/>
    <n v="1"/>
    <x v="8"/>
  </r>
  <r>
    <d v="2024-10-08T00:00:00"/>
    <s v="9989010967"/>
    <s v="SCOMAS RESTAURANT"/>
    <n v="1"/>
    <x v="12"/>
  </r>
  <r>
    <d v="2024-10-08T00:00:00"/>
    <s v="9989010967"/>
    <s v="SCOMAS RESTAURANT"/>
    <n v="2"/>
    <x v="15"/>
  </r>
  <r>
    <d v="2024-10-08T00:00:00"/>
    <s v="9989010967"/>
    <s v="SCOMAS RESTAURANT"/>
    <n v="1"/>
    <x v="19"/>
  </r>
  <r>
    <d v="2024-10-08T00:00:00"/>
    <s v="9989010968"/>
    <s v="WAREHOUSE CAFE"/>
    <n v="2"/>
    <x v="24"/>
  </r>
  <r>
    <d v="2024-10-08T00:00:00"/>
    <s v="9989010968"/>
    <s v="WAREHOUSE CAFE"/>
    <n v="2"/>
    <x v="8"/>
  </r>
  <r>
    <d v="2024-10-08T00:00:00"/>
    <s v="9989010968"/>
    <s v="WAREHOUSE CAFE"/>
    <n v="1"/>
    <x v="21"/>
  </r>
  <r>
    <d v="2024-10-08T00:00:00"/>
    <s v="9989010968"/>
    <s v="WAREHOUSE CAFE"/>
    <n v="1"/>
    <x v="18"/>
  </r>
  <r>
    <d v="2024-10-08T00:00:00"/>
    <s v="9989010969"/>
    <s v="DS GIANT BURGERS"/>
    <n v="2"/>
    <x v="8"/>
  </r>
  <r>
    <d v="2024-10-08T00:00:00"/>
    <s v="9989010969"/>
    <s v="DS GIANT BURGERS"/>
    <n v="1"/>
    <x v="15"/>
  </r>
  <r>
    <d v="2024-10-08T00:00:00"/>
    <s v="9989010969"/>
    <s v="DS GIANT BURGERS"/>
    <n v="1"/>
    <x v="12"/>
  </r>
  <r>
    <d v="2024-10-08T00:00:00"/>
    <s v="9989010969"/>
    <s v="DS GIANT BURGERS"/>
    <n v="1"/>
    <x v="5"/>
  </r>
  <r>
    <d v="2024-10-08T00:00:00"/>
    <s v="9989010969"/>
    <s v="DS GIANT BURGERS"/>
    <n v="1"/>
    <x v="3"/>
  </r>
  <r>
    <d v="2024-10-08T00:00:00"/>
    <s v="9989010970"/>
    <s v="UCSF MEDICAL CENTER PARNASSUS"/>
    <n v="2"/>
    <x v="31"/>
  </r>
  <r>
    <d v="2024-10-08T00:00:00"/>
    <s v="9989010970"/>
    <s v="UCSF MEDICAL CENTER PARNASSUS"/>
    <n v="1"/>
    <x v="35"/>
  </r>
  <r>
    <d v="2024-10-08T00:00:00"/>
    <s v="9989010970"/>
    <s v="UCSF MEDICAL CENTER PARNASSUS"/>
    <n v="2"/>
    <x v="34"/>
  </r>
  <r>
    <d v="2024-10-08T00:00:00"/>
    <s v="9989010970"/>
    <s v="UCSF MEDICAL CENTER PARNASSUS"/>
    <n v="1"/>
    <x v="24"/>
  </r>
  <r>
    <d v="2024-10-08T00:00:00"/>
    <s v="9989010970"/>
    <s v="UCSF MEDICAL CENTER PARNASSUS"/>
    <n v="2"/>
    <x v="36"/>
  </r>
  <r>
    <d v="2024-10-08T00:00:00"/>
    <s v="9989010971"/>
    <s v="THE RANCHO SALOON"/>
    <n v="1"/>
    <x v="12"/>
  </r>
  <r>
    <d v="2024-10-08T00:00:00"/>
    <s v="9989010971"/>
    <s v="THE RANCHO SALOON"/>
    <n v="1"/>
    <x v="14"/>
  </r>
  <r>
    <d v="2024-10-08T00:00:00"/>
    <s v="9989010971"/>
    <s v="THE RANCHO SALOON"/>
    <n v="1"/>
    <x v="22"/>
  </r>
  <r>
    <d v="2024-10-08T00:00:00"/>
    <s v="9989010972"/>
    <s v="THE COMET"/>
    <n v="1"/>
    <x v="18"/>
  </r>
  <r>
    <d v="2024-10-08T00:00:00"/>
    <s v="9989010972"/>
    <s v="THE COMET"/>
    <n v="1"/>
    <x v="14"/>
  </r>
  <r>
    <d v="2024-10-08T00:00:00"/>
    <s v="9989010973"/>
    <s v="EDS PLACE"/>
    <n v="1"/>
    <x v="8"/>
  </r>
  <r>
    <d v="2024-10-08T00:00:00"/>
    <s v="9989010974"/>
    <s v="THE FACTORY BAR"/>
    <n v="1"/>
    <x v="13"/>
  </r>
  <r>
    <d v="2024-10-08T00:00:00"/>
    <s v="9989010974"/>
    <s v="THE FACTORY BAR"/>
    <n v="1"/>
    <x v="14"/>
  </r>
  <r>
    <d v="2024-10-08T00:00:00"/>
    <s v="9989010974"/>
    <s v="THE FACTORY BAR"/>
    <n v="1"/>
    <x v="19"/>
  </r>
  <r>
    <d v="2024-10-08T00:00:00"/>
    <s v="9989010974"/>
    <s v="THE FACTORY BAR"/>
    <n v="1"/>
    <x v="18"/>
  </r>
  <r>
    <d v="2024-10-08T00:00:00"/>
    <s v="9989010976"/>
    <s v="KONA CLUB"/>
    <n v="1"/>
    <x v="14"/>
  </r>
  <r>
    <d v="2024-10-08T00:00:00"/>
    <s v="9989010976"/>
    <s v="KONA CLUB"/>
    <n v="1"/>
    <x v="21"/>
  </r>
  <r>
    <d v="2024-10-08T00:00:00"/>
    <s v="9989010976"/>
    <s v="KONA CLUB"/>
    <n v="1"/>
    <x v="29"/>
  </r>
  <r>
    <d v="2024-10-08T00:00:00"/>
    <s v="9989010977"/>
    <s v="GATHER"/>
    <n v="2"/>
    <x v="11"/>
  </r>
  <r>
    <d v="2024-10-08T00:00:00"/>
    <s v="9989010977"/>
    <s v="GATHER"/>
    <n v="2"/>
    <x v="1"/>
  </r>
  <r>
    <d v="2024-10-08T00:00:00"/>
    <s v="9989010978"/>
    <s v="PROJECT BURGER"/>
    <n v="1"/>
    <x v="10"/>
  </r>
  <r>
    <d v="2024-10-08T00:00:00"/>
    <s v="9989010978"/>
    <s v="PROJECT BURGER"/>
    <n v="2"/>
    <x v="1"/>
  </r>
  <r>
    <d v="2024-10-08T00:00:00"/>
    <s v="9989010978"/>
    <s v="PROJECT BURGER"/>
    <n v="1"/>
    <x v="11"/>
  </r>
  <r>
    <d v="2024-10-08T00:00:00"/>
    <s v="9989010978"/>
    <s v="PROJECT BURGER"/>
    <n v="1"/>
    <x v="3"/>
  </r>
  <r>
    <d v="2024-10-08T00:00:00"/>
    <s v="9989010978"/>
    <s v="PROJECT BURGER"/>
    <n v="1"/>
    <x v="4"/>
  </r>
  <r>
    <d v="2024-10-08T00:00:00"/>
    <s v="9989010980"/>
    <s v="NEW PARISH BAR"/>
    <n v="2"/>
    <x v="8"/>
  </r>
  <r>
    <d v="2024-10-08T00:00:00"/>
    <s v="9989010980"/>
    <s v="NEW PARISH BAR"/>
    <n v="2"/>
    <x v="28"/>
  </r>
  <r>
    <d v="2024-10-08T00:00:00"/>
    <s v="9989010980"/>
    <s v="NEW PARISH BAR"/>
    <n v="1"/>
    <x v="14"/>
  </r>
  <r>
    <d v="2024-10-08T00:00:00"/>
    <s v="9989010980"/>
    <s v="NEW PARISH BAR"/>
    <n v="1"/>
    <x v="12"/>
  </r>
  <r>
    <d v="2024-10-08T00:00:00"/>
    <s v="9989010980"/>
    <s v="NEW PARISH BAR"/>
    <n v="1"/>
    <x v="10"/>
  </r>
  <r>
    <d v="2024-10-09T00:00:00"/>
    <s v="9989010981"/>
    <s v="CANYON CLUB BREWERY"/>
    <n v="1"/>
    <x v="12"/>
  </r>
  <r>
    <d v="2024-10-09T00:00:00"/>
    <s v="9989010981"/>
    <s v="CANYON CLUB BREWERY"/>
    <n v="1"/>
    <x v="7"/>
  </r>
  <r>
    <d v="2024-10-09T00:00:00"/>
    <s v="9989010981"/>
    <s v="CANYON CLUB BREWERY"/>
    <n v="1"/>
    <x v="15"/>
  </r>
  <r>
    <d v="2024-10-09T00:00:00"/>
    <s v="9989010982"/>
    <s v="STARBIRD - TASTES ON THE FLY SF"/>
    <n v="3"/>
    <x v="8"/>
  </r>
  <r>
    <d v="2024-10-09T00:00:00"/>
    <s v="9989010982"/>
    <s v="STARBIRD - TASTES ON THE FLY SF"/>
    <n v="2"/>
    <x v="15"/>
  </r>
  <r>
    <d v="2024-10-09T00:00:00"/>
    <s v="9989010982"/>
    <s v="STARBIRD - TASTES ON THE FLY SF"/>
    <n v="2"/>
    <x v="12"/>
  </r>
  <r>
    <d v="2024-10-09T00:00:00"/>
    <s v="9989010982"/>
    <s v="STARBIRD - TASTES ON THE FLY SF"/>
    <n v="3"/>
    <x v="5"/>
  </r>
  <r>
    <d v="2024-10-09T00:00:00"/>
    <s v="9989010982"/>
    <s v="STARBIRD - TASTES ON THE FLY SF"/>
    <n v="1"/>
    <x v="9"/>
  </r>
  <r>
    <d v="2024-10-09T00:00:00"/>
    <s v="9989010982"/>
    <s v="STARBIRD - TASTES ON THE FLY SF"/>
    <n v="1"/>
    <x v="10"/>
  </r>
  <r>
    <d v="2024-10-09T00:00:00"/>
    <s v="9989010984"/>
    <s v="BEST WESTERN EL RANCHO INN"/>
    <n v="2"/>
    <x v="21"/>
  </r>
  <r>
    <d v="2024-10-09T00:00:00"/>
    <s v="9989010984"/>
    <s v="BEST WESTERN EL RANCHO INN"/>
    <n v="2"/>
    <x v="14"/>
  </r>
  <r>
    <d v="2024-10-09T00:00:00"/>
    <s v="9989010985"/>
    <s v="STARBIRD CHICKEN - WALNUT CREEK"/>
    <n v="3"/>
    <x v="5"/>
  </r>
  <r>
    <d v="2024-10-09T00:00:00"/>
    <s v="9989010985"/>
    <s v="STARBIRD CHICKEN - WALNUT CREEK"/>
    <n v="2"/>
    <x v="8"/>
  </r>
  <r>
    <d v="2024-10-09T00:00:00"/>
    <s v="9989010985"/>
    <s v="STARBIRD CHICKEN - WALNUT CREEK"/>
    <n v="1"/>
    <x v="15"/>
  </r>
  <r>
    <d v="2024-10-09T00:00:00"/>
    <s v="9989010985"/>
    <s v="STARBIRD CHICKEN - WALNUT CREEK"/>
    <n v="1"/>
    <x v="12"/>
  </r>
  <r>
    <d v="2024-10-09T00:00:00"/>
    <s v="9989010985"/>
    <s v="STARBIRD CHICKEN - WALNUT CREEK"/>
    <n v="1"/>
    <x v="17"/>
  </r>
  <r>
    <d v="2024-10-09T00:00:00"/>
    <s v="9989010985"/>
    <s v="STARBIRD CHICKEN - WALNUT CREEK"/>
    <n v="1"/>
    <x v="23"/>
  </r>
  <r>
    <d v="2024-10-09T00:00:00"/>
    <s v="9989010985"/>
    <s v="STARBIRD CHICKEN - WALNUT CREEK"/>
    <n v="1"/>
    <x v="10"/>
  </r>
  <r>
    <d v="2024-10-09T00:00:00"/>
    <s v="9989010985"/>
    <s v="STARBIRD CHICKEN - WALNUT CREEK"/>
    <n v="2"/>
    <x v="1"/>
  </r>
  <r>
    <d v="2024-10-09T00:00:00"/>
    <s v="9989010985"/>
    <s v="STARBIRD CHICKEN - WALNUT CREEK"/>
    <n v="1"/>
    <x v="11"/>
  </r>
  <r>
    <d v="2024-10-09T00:00:00"/>
    <s v="9989010985"/>
    <s v="STARBIRD CHICKEN - WALNUT CREEK"/>
    <n v="1"/>
    <x v="4"/>
  </r>
  <r>
    <d v="2024-10-09T00:00:00"/>
    <s v="9989010986"/>
    <s v="SALTYARD RESTAURANT &amp; BAR"/>
    <n v="3"/>
    <x v="7"/>
  </r>
  <r>
    <d v="2024-10-09T00:00:00"/>
    <s v="9989010987"/>
    <s v="CAMERONS RESTAURANT &amp; PUB"/>
    <n v="2"/>
    <x v="8"/>
  </r>
  <r>
    <d v="2024-10-09T00:00:00"/>
    <s v="9989010987"/>
    <s v="CAMERONS RESTAURANT &amp; PUB"/>
    <n v="2"/>
    <x v="15"/>
  </r>
  <r>
    <d v="2024-10-09T00:00:00"/>
    <s v="9989010987"/>
    <s v="CAMERONS RESTAURANT &amp; PUB"/>
    <n v="1"/>
    <x v="12"/>
  </r>
  <r>
    <d v="2024-10-09T00:00:00"/>
    <s v="9989010987"/>
    <s v="CAMERONS RESTAURANT &amp; PUB"/>
    <n v="1"/>
    <x v="7"/>
  </r>
  <r>
    <d v="2024-10-09T00:00:00"/>
    <s v="9989010987"/>
    <s v="CAMERONS RESTAURANT &amp; PUB"/>
    <n v="1"/>
    <x v="24"/>
  </r>
  <r>
    <d v="2024-10-09T00:00:00"/>
    <s v="9989010988"/>
    <s v="DELTA CINEMAS"/>
    <n v="1"/>
    <x v="5"/>
  </r>
  <r>
    <d v="2024-10-09T00:00:00"/>
    <s v="9989010988"/>
    <s v="DELTA CINEMAS"/>
    <n v="1"/>
    <x v="7"/>
  </r>
  <r>
    <d v="2024-10-09T00:00:00"/>
    <s v="9989010988"/>
    <s v="DELTA CINEMAS"/>
    <n v="1"/>
    <x v="6"/>
  </r>
  <r>
    <d v="2024-10-09T00:00:00"/>
    <s v="9989010989"/>
    <s v="PENINSULA ITALIAN AMERICAN CLUB"/>
    <n v="2"/>
    <x v="12"/>
  </r>
  <r>
    <d v="2024-10-09T00:00:00"/>
    <s v="9989010989"/>
    <s v="PENINSULA ITALIAN AMERICAN CLUB"/>
    <n v="2"/>
    <x v="19"/>
  </r>
  <r>
    <d v="2024-10-09T00:00:00"/>
    <s v="9989010990"/>
    <s v="MOLLY O'S"/>
    <n v="1"/>
    <x v="24"/>
  </r>
  <r>
    <d v="2024-10-09T00:00:00"/>
    <s v="9989010990"/>
    <s v="MOLLY O'S"/>
    <n v="1"/>
    <x v="19"/>
  </r>
  <r>
    <d v="2024-10-09T00:00:00"/>
    <s v="9989010990"/>
    <s v="MOLLY O'S"/>
    <n v="1"/>
    <x v="8"/>
  </r>
  <r>
    <d v="2024-10-09T00:00:00"/>
    <s v="9989010990"/>
    <s v="MOLLY O'S"/>
    <n v="1"/>
    <x v="12"/>
  </r>
  <r>
    <d v="2024-10-09T00:00:00"/>
    <s v="9989010991"/>
    <s v="LIVERMORE CASINO"/>
    <n v="1"/>
    <x v="13"/>
  </r>
  <r>
    <d v="2024-10-09T00:00:00"/>
    <s v="9989010991"/>
    <s v="LIVERMORE CASINO"/>
    <n v="1"/>
    <x v="7"/>
  </r>
  <r>
    <d v="2024-10-09T00:00:00"/>
    <s v="9989010991"/>
    <s v="LIVERMORE CASINO"/>
    <n v="1"/>
    <x v="12"/>
  </r>
  <r>
    <d v="2024-10-09T00:00:00"/>
    <s v="9989010991"/>
    <s v="LIVERMORE CASINO"/>
    <n v="1"/>
    <x v="5"/>
  </r>
  <r>
    <d v="2024-10-09T00:00:00"/>
    <s v="9989010992"/>
    <s v="THE MELT (STANFORD)"/>
    <n v="2"/>
    <x v="15"/>
  </r>
  <r>
    <d v="2024-10-09T00:00:00"/>
    <s v="9989010992"/>
    <s v="THE MELT (STANFORD)"/>
    <n v="2"/>
    <x v="12"/>
  </r>
  <r>
    <d v="2024-10-09T00:00:00"/>
    <s v="9989010992"/>
    <s v="THE MELT (STANFORD)"/>
    <n v="2"/>
    <x v="9"/>
  </r>
  <r>
    <d v="2024-10-09T00:00:00"/>
    <s v="9989010992"/>
    <s v="THE MELT (STANFORD)"/>
    <n v="1"/>
    <x v="5"/>
  </r>
  <r>
    <d v="2024-10-09T00:00:00"/>
    <s v="9989010992"/>
    <s v="THE MELT (STANFORD)"/>
    <n v="1"/>
    <x v="8"/>
  </r>
  <r>
    <d v="2024-10-09T00:00:00"/>
    <s v="9989010993"/>
    <s v="STARBIRD CHICKEN - PLEASANTON"/>
    <n v="3"/>
    <x v="8"/>
  </r>
  <r>
    <d v="2024-10-09T00:00:00"/>
    <s v="9989010993"/>
    <s v="STARBIRD CHICKEN - PLEASANTON"/>
    <n v="4"/>
    <x v="15"/>
  </r>
  <r>
    <d v="2024-10-09T00:00:00"/>
    <s v="9989010993"/>
    <s v="STARBIRD CHICKEN - PLEASANTON"/>
    <n v="3"/>
    <x v="12"/>
  </r>
  <r>
    <d v="2024-10-09T00:00:00"/>
    <s v="9989010993"/>
    <s v="STARBIRD CHICKEN - PLEASANTON"/>
    <n v="2"/>
    <x v="5"/>
  </r>
  <r>
    <d v="2024-10-09T00:00:00"/>
    <s v="9989010993"/>
    <s v="STARBIRD CHICKEN - PLEASANTON"/>
    <n v="2"/>
    <x v="17"/>
  </r>
  <r>
    <d v="2024-10-09T00:00:00"/>
    <s v="9989010995"/>
    <s v="LUNA LOCA (JAINS FOODS)"/>
    <n v="1"/>
    <x v="12"/>
  </r>
  <r>
    <d v="2024-10-09T00:00:00"/>
    <s v="9989010995"/>
    <s v="LUNA LOCA (JAINS FOODS)"/>
    <n v="1"/>
    <x v="8"/>
  </r>
  <r>
    <d v="2024-10-09T00:00:00"/>
    <s v="9989010995"/>
    <s v="LUNA LOCA (JAINS FOODS)"/>
    <n v="1"/>
    <x v="15"/>
  </r>
  <r>
    <d v="2024-10-09T00:00:00"/>
    <s v="9989010996"/>
    <s v="DANVILLE BREWERY"/>
    <n v="1"/>
    <x v="26"/>
  </r>
  <r>
    <d v="2024-10-09T00:00:00"/>
    <s v="9989010996"/>
    <s v="DANVILLE BREWERY"/>
    <n v="1"/>
    <x v="13"/>
  </r>
  <r>
    <d v="2024-10-09T00:00:00"/>
    <s v="9989010996"/>
    <s v="DANVILLE BREWERY"/>
    <n v="1"/>
    <x v="27"/>
  </r>
  <r>
    <d v="2024-10-09T00:00:00"/>
    <s v="9989010997"/>
    <s v="ELLIOTTS"/>
    <n v="1"/>
    <x v="14"/>
  </r>
  <r>
    <d v="2024-10-09T00:00:00"/>
    <s v="9989010997"/>
    <s v="ELLIOTTS"/>
    <n v="1"/>
    <x v="19"/>
  </r>
  <r>
    <d v="2024-10-09T00:00:00"/>
    <s v="9989010998"/>
    <s v="GOLD RUSH EATERY"/>
    <n v="2"/>
    <x v="26"/>
  </r>
  <r>
    <d v="2024-10-09T00:00:00"/>
    <s v="9989010998"/>
    <s v="GOLD RUSH EATERY"/>
    <n v="1"/>
    <x v="13"/>
  </r>
  <r>
    <d v="2024-10-09T00:00:00"/>
    <s v="9989010998"/>
    <s v="GOLD RUSH EATERY"/>
    <n v="1"/>
    <x v="17"/>
  </r>
  <r>
    <d v="2024-10-09T00:00:00"/>
    <s v="9989010998"/>
    <s v="GOLD RUSH EATERY"/>
    <n v="2"/>
    <x v="3"/>
  </r>
  <r>
    <d v="2024-10-09T00:00:00"/>
    <s v="9989010998"/>
    <s v="GOLD RUSH EATERY"/>
    <n v="1"/>
    <x v="4"/>
  </r>
  <r>
    <d v="2024-10-09T00:00:00"/>
    <s v="9989010999"/>
    <s v="MONTE CARLO"/>
    <n v="3"/>
    <x v="14"/>
  </r>
  <r>
    <d v="2024-10-09T00:00:00"/>
    <s v="9989010999"/>
    <s v="MONTE CARLO"/>
    <n v="2"/>
    <x v="28"/>
  </r>
  <r>
    <d v="2024-10-09T00:00:00"/>
    <s v="9989010999"/>
    <s v="MONTE CARLO"/>
    <n v="2"/>
    <x v="21"/>
  </r>
  <r>
    <d v="2024-10-09T00:00:00"/>
    <s v="9989010999"/>
    <s v="MONTE CARLO"/>
    <n v="3"/>
    <x v="37"/>
  </r>
  <r>
    <d v="2024-10-09T00:00:00"/>
    <s v="9989011000"/>
    <s v="THE MELT (DANVILLE)"/>
    <n v="1"/>
    <x v="16"/>
  </r>
  <r>
    <d v="2024-10-09T00:00:00"/>
    <s v="9989011000"/>
    <s v="THE MELT (DANVILLE)"/>
    <n v="1"/>
    <x v="8"/>
  </r>
  <r>
    <d v="2024-10-09T00:00:00"/>
    <s v="9989011000"/>
    <s v="THE MELT (DANVILLE)"/>
    <n v="1"/>
    <x v="15"/>
  </r>
  <r>
    <d v="2024-10-09T00:00:00"/>
    <s v="9989011000"/>
    <s v="THE MELT (DANVILLE)"/>
    <n v="1"/>
    <x v="12"/>
  </r>
  <r>
    <d v="2024-10-09T00:00:00"/>
    <s v="9989011000"/>
    <s v="THE MELT (DANVILLE)"/>
    <n v="1"/>
    <x v="9"/>
  </r>
  <r>
    <d v="2024-10-09T00:00:00"/>
    <s v="9989011000"/>
    <s v="THE MELT (DANVILLE)"/>
    <n v="1"/>
    <x v="5"/>
  </r>
  <r>
    <d v="2024-10-09T00:00:00"/>
    <s v="9989011001"/>
    <s v="THE MELT (SUNNYVALE #0043)"/>
    <n v="2"/>
    <x v="16"/>
  </r>
  <r>
    <d v="2024-10-09T00:00:00"/>
    <s v="9989011001"/>
    <s v="THE MELT (SUNNYVALE #0043)"/>
    <n v="2"/>
    <x v="8"/>
  </r>
  <r>
    <d v="2024-10-09T00:00:00"/>
    <s v="9989011001"/>
    <s v="THE MELT (SUNNYVALE #0043)"/>
    <n v="1"/>
    <x v="15"/>
  </r>
  <r>
    <d v="2024-10-09T00:00:00"/>
    <s v="9989011001"/>
    <s v="THE MELT (SUNNYVALE #0043)"/>
    <n v="1"/>
    <x v="10"/>
  </r>
  <r>
    <d v="2024-10-09T00:00:00"/>
    <s v="9989011001"/>
    <s v="THE MELT (SUNNYVALE #0043)"/>
    <n v="1"/>
    <x v="12"/>
  </r>
  <r>
    <d v="2024-10-09T00:00:00"/>
    <s v="9989011001"/>
    <s v="THE MELT (SUNNYVALE #0043)"/>
    <n v="1"/>
    <x v="9"/>
  </r>
  <r>
    <d v="2024-10-09T00:00:00"/>
    <s v="9989011001"/>
    <s v="THE MELT (SUNNYVALE #0043)"/>
    <n v="1"/>
    <x v="5"/>
  </r>
  <r>
    <d v="2024-10-09T00:00:00"/>
    <s v="9989011003"/>
    <s v="DINOS GRILL"/>
    <n v="2"/>
    <x v="8"/>
  </r>
  <r>
    <d v="2024-10-09T00:00:00"/>
    <s v="9989011003"/>
    <s v="DINOS GRILL"/>
    <n v="2"/>
    <x v="5"/>
  </r>
  <r>
    <d v="2024-10-09T00:00:00"/>
    <s v="9989011003"/>
    <s v="DINOS GRILL"/>
    <n v="2"/>
    <x v="16"/>
  </r>
  <r>
    <d v="2024-10-09T00:00:00"/>
    <s v="9989011003"/>
    <s v="DINOS GRILL"/>
    <n v="1"/>
    <x v="12"/>
  </r>
  <r>
    <d v="2024-10-09T00:00:00"/>
    <s v="9989011003"/>
    <s v="DINOS GRILL"/>
    <n v="1"/>
    <x v="15"/>
  </r>
  <r>
    <d v="2024-10-09T00:00:00"/>
    <s v="9989011003"/>
    <s v="DINOS GRILL"/>
    <n v="2"/>
    <x v="4"/>
  </r>
  <r>
    <d v="2024-10-09T00:00:00"/>
    <s v="9989011003"/>
    <s v="DINOS GRILL"/>
    <n v="2"/>
    <x v="1"/>
  </r>
  <r>
    <d v="2024-10-09T00:00:00"/>
    <s v="9989011003"/>
    <s v="DINOS GRILL"/>
    <n v="1"/>
    <x v="11"/>
  </r>
  <r>
    <d v="2024-10-09T00:00:00"/>
    <s v="9989011003"/>
    <s v="DINOS GRILL"/>
    <n v="1"/>
    <x v="2"/>
  </r>
  <r>
    <d v="2024-10-09T00:00:00"/>
    <s v="9989011004"/>
    <s v="SCOLARIS ON PARK ST"/>
    <n v="5"/>
    <x v="1"/>
  </r>
  <r>
    <d v="2024-10-09T00:00:00"/>
    <s v="9989011004"/>
    <s v="SCOLARIS ON PARK ST"/>
    <n v="6"/>
    <x v="4"/>
  </r>
  <r>
    <d v="2024-10-09T00:00:00"/>
    <s v="9989011004"/>
    <s v="SCOLARIS ON PARK ST"/>
    <n v="1"/>
    <x v="11"/>
  </r>
  <r>
    <d v="2024-10-09T00:00:00"/>
    <s v="9989011004"/>
    <s v="SCOLARIS ON PARK ST"/>
    <n v="2"/>
    <x v="2"/>
  </r>
  <r>
    <d v="2024-10-09T00:00:00"/>
    <s v="9989011004"/>
    <s v="SCOLARIS ON PARK ST"/>
    <n v="2"/>
    <x v="3"/>
  </r>
  <r>
    <d v="2024-10-09T00:00:00"/>
    <s v="9989011005"/>
    <s v="DUKE OF EDINBURGH"/>
    <n v="1"/>
    <x v="15"/>
  </r>
  <r>
    <d v="2024-10-09T00:00:00"/>
    <s v="9989011005"/>
    <s v="DUKE OF EDINBURGH"/>
    <n v="1"/>
    <x v="8"/>
  </r>
  <r>
    <d v="2024-10-09T00:00:00"/>
    <s v="9989011005"/>
    <s v="DUKE OF EDINBURGH"/>
    <n v="1"/>
    <x v="18"/>
  </r>
  <r>
    <d v="2024-10-10T00:00:00"/>
    <s v="9989011006"/>
    <s v="FACTION BREWING"/>
    <n v="6"/>
    <x v="4"/>
  </r>
  <r>
    <d v="2024-10-10T00:00:00"/>
    <s v="9989011006"/>
    <s v="FACTION BREWING"/>
    <n v="2"/>
    <x v="0"/>
  </r>
  <r>
    <d v="2024-10-10T00:00:00"/>
    <s v="9989011007"/>
    <s v="ENCINAL MARKET"/>
    <n v="1"/>
    <x v="11"/>
  </r>
  <r>
    <d v="2024-10-10T00:00:00"/>
    <s v="9989011007"/>
    <s v="ENCINAL MARKET"/>
    <n v="1"/>
    <x v="1"/>
  </r>
  <r>
    <d v="2024-10-10T00:00:00"/>
    <s v="9989011007"/>
    <s v="ENCINAL MARKET"/>
    <n v="1"/>
    <x v="3"/>
  </r>
  <r>
    <d v="2024-10-10T00:00:00"/>
    <s v="9989011007"/>
    <s v="ENCINAL MARKET"/>
    <n v="1"/>
    <x v="4"/>
  </r>
  <r>
    <d v="2024-10-10T00:00:00"/>
    <s v="9989011008"/>
    <s v="SLICE HOUSE"/>
    <n v="1"/>
    <x v="13"/>
  </r>
  <r>
    <d v="2024-10-10T00:00:00"/>
    <s v="9989011008"/>
    <s v="SLICE HOUSE"/>
    <n v="1"/>
    <x v="15"/>
  </r>
  <r>
    <d v="2024-10-10T00:00:00"/>
    <s v="9989011008"/>
    <s v="SLICE HOUSE"/>
    <n v="1"/>
    <x v="9"/>
  </r>
  <r>
    <d v="2024-10-10T00:00:00"/>
    <s v="9989011008"/>
    <s v="SLICE HOUSE"/>
    <n v="1"/>
    <x v="5"/>
  </r>
  <r>
    <d v="2024-10-10T00:00:00"/>
    <s v="9989011008"/>
    <s v="SLICE HOUSE"/>
    <n v="1"/>
    <x v="29"/>
  </r>
  <r>
    <d v="2024-10-10T00:00:00"/>
    <s v="9989011009"/>
    <s v="THE DIRTY BIRD LOUNGE LLC"/>
    <n v="1"/>
    <x v="29"/>
  </r>
  <r>
    <d v="2024-10-10T00:00:00"/>
    <s v="9989011009"/>
    <s v="THE DIRTY BIRD LOUNGE LLC"/>
    <n v="1"/>
    <x v="10"/>
  </r>
  <r>
    <d v="2024-10-10T00:00:00"/>
    <s v="9989011009"/>
    <s v="THE DIRTY BIRD LOUNGE LLC"/>
    <n v="2"/>
    <x v="14"/>
  </r>
  <r>
    <d v="2024-10-10T00:00:00"/>
    <s v="9989011011"/>
    <s v="HOG ISLAND OYSTER CO"/>
    <n v="3"/>
    <x v="26"/>
  </r>
  <r>
    <d v="2024-10-10T00:00:00"/>
    <s v="9989011011"/>
    <s v="HOG ISLAND OYSTER CO"/>
    <n v="1"/>
    <x v="13"/>
  </r>
  <r>
    <d v="2024-10-10T00:00:00"/>
    <s v="9989011012"/>
    <s v="PAPILLON RESTAURANT FRANCIAS"/>
    <n v="1"/>
    <x v="8"/>
  </r>
  <r>
    <d v="2024-10-10T00:00:00"/>
    <s v="9989011012"/>
    <s v="PAPILLON RESTAURANT FRANCIAS"/>
    <n v="1"/>
    <x v="12"/>
  </r>
  <r>
    <d v="2024-10-10T00:00:00"/>
    <s v="9989011013"/>
    <s v="THE MELT (455 MARKET)"/>
    <n v="4"/>
    <x v="8"/>
  </r>
  <r>
    <d v="2024-10-10T00:00:00"/>
    <s v="9989011013"/>
    <s v="THE MELT (455 MARKET)"/>
    <n v="2"/>
    <x v="5"/>
  </r>
  <r>
    <d v="2024-10-10T00:00:00"/>
    <s v="9989011013"/>
    <s v="THE MELT (455 MARKET)"/>
    <n v="2"/>
    <x v="9"/>
  </r>
  <r>
    <d v="2024-10-10T00:00:00"/>
    <s v="9989011013"/>
    <s v="THE MELT (455 MARKET)"/>
    <n v="2"/>
    <x v="12"/>
  </r>
  <r>
    <d v="2024-10-10T00:00:00"/>
    <s v="9989011013"/>
    <s v="THE MELT (455 MARKET)"/>
    <n v="2"/>
    <x v="10"/>
  </r>
  <r>
    <d v="2024-10-10T00:00:00"/>
    <s v="9989011013"/>
    <s v="THE MELT (455 MARKET)"/>
    <n v="2"/>
    <x v="15"/>
  </r>
  <r>
    <d v="2024-10-10T00:00:00"/>
    <s v="9989011014"/>
    <s v="CALI KID BURGERS AND SHAKES"/>
    <n v="1"/>
    <x v="17"/>
  </r>
  <r>
    <d v="2024-10-10T00:00:00"/>
    <s v="9989011014"/>
    <s v="CALI KID BURGERS AND SHAKES"/>
    <n v="1"/>
    <x v="8"/>
  </r>
  <r>
    <d v="2024-10-10T00:00:00"/>
    <s v="9989011014"/>
    <s v="CALI KID BURGERS AND SHAKES"/>
    <n v="1"/>
    <x v="15"/>
  </r>
  <r>
    <d v="2024-10-10T00:00:00"/>
    <s v="9989011014"/>
    <s v="CALI KID BURGERS AND SHAKES"/>
    <n v="1"/>
    <x v="12"/>
  </r>
  <r>
    <d v="2024-10-10T00:00:00"/>
    <s v="9989011016"/>
    <s v="HIGH HORSE"/>
    <n v="1"/>
    <x v="24"/>
  </r>
  <r>
    <d v="2024-10-10T00:00:00"/>
    <s v="9989011016"/>
    <s v="HIGH HORSE"/>
    <n v="1"/>
    <x v="12"/>
  </r>
  <r>
    <d v="2024-10-10T00:00:00"/>
    <s v="9989011016"/>
    <s v="HIGH HORSE"/>
    <n v="1"/>
    <x v="10"/>
  </r>
  <r>
    <d v="2024-10-10T00:00:00"/>
    <s v="9989011017"/>
    <s v="STARBIRD CHICKEN - SAN JOSE"/>
    <n v="1"/>
    <x v="5"/>
  </r>
  <r>
    <d v="2024-10-10T00:00:00"/>
    <s v="9989011017"/>
    <s v="STARBIRD CHICKEN - SAN JOSE"/>
    <n v="1"/>
    <x v="8"/>
  </r>
  <r>
    <d v="2024-10-10T00:00:00"/>
    <s v="9989011017"/>
    <s v="STARBIRD CHICKEN - SAN JOSE"/>
    <n v="1"/>
    <x v="15"/>
  </r>
  <r>
    <d v="2024-10-10T00:00:00"/>
    <s v="9989011017"/>
    <s v="STARBIRD CHICKEN - SAN JOSE"/>
    <n v="1"/>
    <x v="12"/>
  </r>
  <r>
    <d v="2024-10-10T00:00:00"/>
    <s v="9989011017"/>
    <s v="STARBIRD CHICKEN - SAN JOSE"/>
    <n v="1"/>
    <x v="17"/>
  </r>
  <r>
    <d v="2024-10-10T00:00:00"/>
    <s v="9989011017"/>
    <s v="STARBIRD CHICKEN - SAN JOSE"/>
    <n v="1"/>
    <x v="10"/>
  </r>
  <r>
    <d v="2024-10-10T00:00:00"/>
    <s v="9989011017"/>
    <s v="STARBIRD CHICKEN - SAN JOSE"/>
    <n v="1"/>
    <x v="3"/>
  </r>
  <r>
    <d v="2024-10-10T00:00:00"/>
    <s v="9989011017"/>
    <s v="STARBIRD CHICKEN - SAN JOSE"/>
    <n v="1"/>
    <x v="4"/>
  </r>
  <r>
    <d v="2024-10-10T00:00:00"/>
    <s v="9989011017"/>
    <s v="STARBIRD CHICKEN - SAN JOSE"/>
    <n v="1"/>
    <x v="11"/>
  </r>
  <r>
    <d v="2024-10-10T00:00:00"/>
    <s v="9989011019"/>
    <s v="STRAITS SANTANA ROW"/>
    <n v="1"/>
    <x v="8"/>
  </r>
  <r>
    <d v="2024-10-10T00:00:00"/>
    <s v="9989011019"/>
    <s v="STRAITS SANTANA ROW"/>
    <n v="1"/>
    <x v="15"/>
  </r>
  <r>
    <d v="2024-10-10T00:00:00"/>
    <s v="9989011019"/>
    <s v="STRAITS SANTANA ROW"/>
    <n v="1"/>
    <x v="12"/>
  </r>
  <r>
    <d v="2024-10-10T00:00:00"/>
    <s v="9989011019"/>
    <s v="STRAITS SANTANA ROW"/>
    <n v="1"/>
    <x v="24"/>
  </r>
  <r>
    <d v="2024-10-10T00:00:00"/>
    <s v="9989011019"/>
    <s v="STRAITS SANTANA ROW"/>
    <n v="2"/>
    <x v="28"/>
  </r>
  <r>
    <d v="2024-10-10T00:00:00"/>
    <s v="9989011020"/>
    <s v="THE MELT (GAS LAMP SAN DIEGO)"/>
    <n v="4"/>
    <x v="8"/>
  </r>
  <r>
    <d v="2024-10-10T00:00:00"/>
    <s v="9989011020"/>
    <s v="THE MELT (GAS LAMP SAN DIEGO)"/>
    <n v="2"/>
    <x v="16"/>
  </r>
  <r>
    <d v="2024-10-10T00:00:00"/>
    <s v="9989011020"/>
    <s v="THE MELT (GAS LAMP SAN DIEGO)"/>
    <n v="2"/>
    <x v="15"/>
  </r>
  <r>
    <d v="2024-10-10T00:00:00"/>
    <s v="9989011020"/>
    <s v="THE MELT (GAS LAMP SAN DIEGO)"/>
    <n v="2"/>
    <x v="12"/>
  </r>
  <r>
    <d v="2024-10-10T00:00:00"/>
    <s v="9989011020"/>
    <s v="THE MELT (GAS LAMP SAN DIEGO)"/>
    <n v="2"/>
    <x v="5"/>
  </r>
  <r>
    <d v="2024-10-10T00:00:00"/>
    <s v="9989011021"/>
    <s v="THE MELT (LA JOLLA)"/>
    <n v="2"/>
    <x v="16"/>
  </r>
  <r>
    <d v="2024-10-10T00:00:00"/>
    <s v="9989011021"/>
    <s v="THE MELT (LA JOLLA)"/>
    <n v="2"/>
    <x v="8"/>
  </r>
  <r>
    <d v="2024-10-10T00:00:00"/>
    <s v="9989011021"/>
    <s v="THE MELT (LA JOLLA)"/>
    <n v="1"/>
    <x v="15"/>
  </r>
  <r>
    <d v="2024-10-10T00:00:00"/>
    <s v="9989011021"/>
    <s v="THE MELT (LA JOLLA)"/>
    <n v="2"/>
    <x v="12"/>
  </r>
  <r>
    <d v="2024-10-10T00:00:00"/>
    <s v="9989011021"/>
    <s v="THE MELT (LA JOLLA)"/>
    <n v="1"/>
    <x v="9"/>
  </r>
  <r>
    <d v="2024-10-10T00:00:00"/>
    <s v="9989011021"/>
    <s v="THE MELT (LA JOLLA)"/>
    <n v="2"/>
    <x v="5"/>
  </r>
  <r>
    <d v="2024-10-10T00:00:00"/>
    <s v="9989011022"/>
    <s v="UCSF MEDICAL CENTER MT. ZION"/>
    <n v="1"/>
    <x v="31"/>
  </r>
  <r>
    <d v="2024-10-10T00:00:00"/>
    <s v="9989011022"/>
    <s v="UCSF MEDICAL CENTER MT. ZION"/>
    <n v="1"/>
    <x v="33"/>
  </r>
  <r>
    <d v="2024-10-10T00:00:00"/>
    <s v="9989011022"/>
    <s v="UCSF MEDICAL CENTER MT. ZION"/>
    <n v="1"/>
    <x v="32"/>
  </r>
  <r>
    <d v="2024-10-10T00:00:00"/>
    <s v="9989011022"/>
    <s v="UCSF MEDICAL CENTER MT. ZION"/>
    <n v="1"/>
    <x v="34"/>
  </r>
  <r>
    <d v="2024-10-10T00:00:00"/>
    <s v="9989011022"/>
    <s v="UCSF MEDICAL CENTER MT. ZION"/>
    <n v="1"/>
    <x v="36"/>
  </r>
  <r>
    <d v="2024-10-10T00:00:00"/>
    <s v="9989011023"/>
    <s v="STARBIRD CHICKEN - CAMPBELL"/>
    <n v="3"/>
    <x v="5"/>
  </r>
  <r>
    <d v="2024-10-10T00:00:00"/>
    <s v="9989011023"/>
    <s v="STARBIRD CHICKEN - CAMPBELL"/>
    <n v="3"/>
    <x v="8"/>
  </r>
  <r>
    <d v="2024-10-10T00:00:00"/>
    <s v="9989011023"/>
    <s v="STARBIRD CHICKEN - CAMPBELL"/>
    <n v="7"/>
    <x v="1"/>
  </r>
  <r>
    <d v="2024-10-10T00:00:00"/>
    <s v="9989011023"/>
    <s v="STARBIRD CHICKEN - CAMPBELL"/>
    <n v="7"/>
    <x v="4"/>
  </r>
  <r>
    <d v="2024-10-10T00:00:00"/>
    <s v="9989011023"/>
    <s v="STARBIRD CHICKEN - CAMPBELL"/>
    <n v="1"/>
    <x v="3"/>
  </r>
  <r>
    <d v="2024-10-10T00:00:00"/>
    <s v="9989011023"/>
    <s v="STARBIRD CHICKEN - CAMPBELL"/>
    <n v="2"/>
    <x v="11"/>
  </r>
  <r>
    <d v="2024-10-10T00:00:00"/>
    <s v="9989011024"/>
    <s v="CITY NIGHTS"/>
    <n v="2"/>
    <x v="19"/>
  </r>
  <r>
    <d v="2024-10-10T00:00:00"/>
    <s v="9989011024"/>
    <s v="CITY NIGHTS"/>
    <n v="1"/>
    <x v="12"/>
  </r>
  <r>
    <d v="2024-10-10T00:00:00"/>
    <s v="9989011024"/>
    <s v="CITY NIGHTS"/>
    <n v="1"/>
    <x v="28"/>
  </r>
  <r>
    <d v="2024-10-10T00:00:00"/>
    <s v="9989011024"/>
    <s v="CITY NIGHTS"/>
    <n v="1"/>
    <x v="22"/>
  </r>
  <r>
    <d v="2024-10-10T00:00:00"/>
    <s v="9989011025"/>
    <s v="THE MELT (SANTA CLARA 0045)"/>
    <n v="2"/>
    <x v="8"/>
  </r>
  <r>
    <d v="2024-10-10T00:00:00"/>
    <s v="9989011025"/>
    <s v="THE MELT (SANTA CLARA 0045)"/>
    <n v="1"/>
    <x v="16"/>
  </r>
  <r>
    <d v="2024-10-10T00:00:00"/>
    <s v="9989011025"/>
    <s v="THE MELT (SANTA CLARA 0045)"/>
    <n v="1"/>
    <x v="5"/>
  </r>
  <r>
    <d v="2024-10-10T00:00:00"/>
    <s v="9989011026"/>
    <s v="THE MELT (DEL MAR)"/>
    <n v="2"/>
    <x v="16"/>
  </r>
  <r>
    <d v="2024-10-10T00:00:00"/>
    <s v="9989011026"/>
    <s v="THE MELT (DEL MAR)"/>
    <n v="1"/>
    <x v="8"/>
  </r>
  <r>
    <d v="2024-10-10T00:00:00"/>
    <s v="9989011026"/>
    <s v="THE MELT (DEL MAR)"/>
    <n v="1"/>
    <x v="12"/>
  </r>
  <r>
    <d v="2024-10-10T00:00:00"/>
    <s v="9989011027"/>
    <s v="THE MELT (GAS LAMP SAN DIEGO)"/>
    <n v="2"/>
    <x v="10"/>
  </r>
  <r>
    <d v="2024-10-10T00:00:00"/>
    <s v="9989011029"/>
    <s v="BRONCO BILLYS HAYWARD"/>
    <n v="2"/>
    <x v="17"/>
  </r>
  <r>
    <d v="2024-10-10T00:00:00"/>
    <s v="9989011029"/>
    <s v="BRONCO BILLYS HAYWARD"/>
    <n v="3"/>
    <x v="8"/>
  </r>
  <r>
    <d v="2024-10-10T00:00:00"/>
    <s v="9989011029"/>
    <s v="BRONCO BILLYS HAYWARD"/>
    <n v="1"/>
    <x v="9"/>
  </r>
  <r>
    <d v="2024-10-10T00:00:00"/>
    <s v="9989011029"/>
    <s v="BRONCO BILLYS HAYWARD"/>
    <n v="1"/>
    <x v="5"/>
  </r>
  <r>
    <d v="2024-10-10T00:00:00"/>
    <s v="9989011029"/>
    <s v="BRONCO BILLYS HAYWARD"/>
    <n v="1"/>
    <x v="15"/>
  </r>
  <r>
    <d v="2024-10-10T00:00:00"/>
    <s v="9989011029"/>
    <s v="BRONCO BILLYS HAYWARD"/>
    <n v="1"/>
    <x v="7"/>
  </r>
  <r>
    <d v="2024-10-10T00:00:00"/>
    <s v="9989011028"/>
    <s v="THE MELT (LA JOLLA)"/>
    <n v="1"/>
    <x v="10"/>
  </r>
  <r>
    <d v="2024-10-10T00:00:00"/>
    <s v="9989011030"/>
    <s v="MONROE"/>
    <n v="1"/>
    <x v="12"/>
  </r>
  <r>
    <d v="2024-10-10T00:00:00"/>
    <s v="9989011030"/>
    <s v="MONROE"/>
    <n v="1"/>
    <x v="14"/>
  </r>
  <r>
    <d v="2024-10-10T00:00:00"/>
    <s v="9989011030"/>
    <s v="MONROE"/>
    <n v="1"/>
    <x v="21"/>
  </r>
  <r>
    <d v="2024-10-10T00:00:00"/>
    <s v="9989011030"/>
    <s v="MONROE"/>
    <n v="1"/>
    <x v="8"/>
  </r>
  <r>
    <d v="2024-10-10T00:00:00"/>
    <s v="9989011031"/>
    <s v="MOLOTOVS ( TWO NICKELS)"/>
    <n v="1"/>
    <x v="19"/>
  </r>
  <r>
    <d v="2024-10-10T00:00:00"/>
    <s v="9989011031"/>
    <s v="MOLOTOVS ( TWO NICKELS)"/>
    <n v="1"/>
    <x v="8"/>
  </r>
  <r>
    <d v="2024-10-11T00:00:00"/>
    <s v="9989011036"/>
    <s v="HELLO STRANGER"/>
    <n v="1"/>
    <x v="28"/>
  </r>
  <r>
    <d v="2024-10-11T00:00:00"/>
    <s v="9989011036"/>
    <s v="HELLO STRANGER"/>
    <n v="1"/>
    <x v="14"/>
  </r>
  <r>
    <d v="2024-10-11T00:00:00"/>
    <s v="9989011038"/>
    <s v="PORTAL OAKLAND INC"/>
    <n v="1"/>
    <x v="8"/>
  </r>
  <r>
    <d v="2024-10-11T00:00:00"/>
    <s v="9989011038"/>
    <s v="PORTAL OAKLAND INC"/>
    <n v="1"/>
    <x v="12"/>
  </r>
  <r>
    <d v="2024-10-11T00:00:00"/>
    <s v="9989011038"/>
    <s v="PORTAL OAKLAND INC"/>
    <n v="1"/>
    <x v="14"/>
  </r>
  <r>
    <d v="2024-10-11T00:00:00"/>
    <s v="9989011038"/>
    <s v="PORTAL OAKLAND INC"/>
    <n v="1"/>
    <x v="24"/>
  </r>
  <r>
    <d v="2024-10-11T00:00:00"/>
    <s v="9989011038"/>
    <s v="PORTAL OAKLAND INC"/>
    <n v="1"/>
    <x v="10"/>
  </r>
  <r>
    <d v="2024-10-11T00:00:00"/>
    <s v="9989011039"/>
    <s v="PICANTE"/>
    <n v="3"/>
    <x v="7"/>
  </r>
  <r>
    <d v="2024-10-11T00:00:00"/>
    <s v="9989011039"/>
    <s v="PICANTE"/>
    <n v="1"/>
    <x v="5"/>
  </r>
  <r>
    <d v="2024-10-11T00:00:00"/>
    <s v="9989011040"/>
    <s v="THE RED ONION - EL CERRITO"/>
    <n v="2"/>
    <x v="12"/>
  </r>
  <r>
    <d v="2024-10-11T00:00:00"/>
    <s v="9989011040"/>
    <s v="THE RED ONION - EL CERRITO"/>
    <n v="2"/>
    <x v="7"/>
  </r>
  <r>
    <d v="2024-10-11T00:00:00"/>
    <s v="9989011041"/>
    <s v="PHILS FISH MARKET"/>
    <n v="2"/>
    <x v="26"/>
  </r>
  <r>
    <d v="2024-10-11T00:00:00"/>
    <s v="9989011041"/>
    <s v="PHILS FISH MARKET"/>
    <n v="3"/>
    <x v="5"/>
  </r>
  <r>
    <d v="2024-10-11T00:00:00"/>
    <s v="9989011042"/>
    <s v="STARBIRD CHICKEN - CORTE MADERA"/>
    <n v="2"/>
    <x v="8"/>
  </r>
  <r>
    <d v="2024-10-11T00:00:00"/>
    <s v="9989011042"/>
    <s v="STARBIRD CHICKEN - CORTE MADERA"/>
    <n v="2"/>
    <x v="17"/>
  </r>
  <r>
    <d v="2024-10-11T00:00:00"/>
    <s v="9989011042"/>
    <s v="STARBIRD CHICKEN - CORTE MADERA"/>
    <n v="1"/>
    <x v="12"/>
  </r>
  <r>
    <d v="2024-10-11T00:00:00"/>
    <s v="9989011042"/>
    <s v="STARBIRD CHICKEN - CORTE MADERA"/>
    <n v="1"/>
    <x v="5"/>
  </r>
  <r>
    <d v="2024-10-11T00:00:00"/>
    <s v="9989011042"/>
    <s v="STARBIRD CHICKEN - CORTE MADERA"/>
    <n v="1"/>
    <x v="10"/>
  </r>
  <r>
    <d v="2024-10-11T00:00:00"/>
    <s v="9989011042"/>
    <s v="STARBIRD CHICKEN - CORTE MADERA"/>
    <n v="1"/>
    <x v="11"/>
  </r>
  <r>
    <d v="2024-10-11T00:00:00"/>
    <s v="9989011042"/>
    <s v="STARBIRD CHICKEN - CORTE MADERA"/>
    <n v="1"/>
    <x v="1"/>
  </r>
  <r>
    <d v="2024-10-11T00:00:00"/>
    <s v="9989011043"/>
    <s v="BALTIC KISS"/>
    <n v="1"/>
    <x v="12"/>
  </r>
  <r>
    <d v="2024-10-11T00:00:00"/>
    <s v="9989011043"/>
    <s v="BALTIC KISS"/>
    <n v="1"/>
    <x v="28"/>
  </r>
  <r>
    <d v="2024-10-11T00:00:00"/>
    <s v="9989011043"/>
    <s v="BALTIC KISS"/>
    <n v="1"/>
    <x v="14"/>
  </r>
  <r>
    <d v="2024-10-11T00:00:00"/>
    <s v="9989011043"/>
    <s v="BALTIC KISS"/>
    <n v="1"/>
    <x v="10"/>
  </r>
  <r>
    <d v="2024-10-11T00:00:00"/>
    <s v="9989011045"/>
    <s v="MEDITERRANEAN BAR"/>
    <n v="1"/>
    <x v="8"/>
  </r>
  <r>
    <d v="2024-10-11T00:00:00"/>
    <s v="9989011046"/>
    <s v="HOLE IN THE WALL"/>
    <n v="1"/>
    <x v="14"/>
  </r>
  <r>
    <d v="2024-10-11T00:00:00"/>
    <s v="9989011046"/>
    <s v="HOLE IN THE WALL"/>
    <n v="1"/>
    <x v="18"/>
  </r>
  <r>
    <d v="2024-10-11T00:00:00"/>
    <s v="9989011047"/>
    <s v="OVER THE HILL GANG"/>
    <n v="3"/>
    <x v="12"/>
  </r>
  <r>
    <d v="2024-10-11T00:00:00"/>
    <s v="9989011047"/>
    <s v="OVER THE HILL GANG"/>
    <n v="2"/>
    <x v="8"/>
  </r>
  <r>
    <d v="2024-10-11T00:00:00"/>
    <s v="9989011049"/>
    <s v="EZ LIQUORS"/>
    <n v="3"/>
    <x v="11"/>
  </r>
  <r>
    <d v="2024-10-11T00:00:00"/>
    <s v="9989011049"/>
    <s v="EZ LIQUORS"/>
    <n v="3"/>
    <x v="1"/>
  </r>
  <r>
    <d v="2024-10-11T00:00:00"/>
    <s v="9989011050"/>
    <s v="LAS PALMAS"/>
    <n v="1"/>
    <x v="13"/>
  </r>
  <r>
    <d v="2024-10-11T00:00:00"/>
    <s v="9989011050"/>
    <s v="LAS PALMAS"/>
    <n v="1"/>
    <x v="29"/>
  </r>
  <r>
    <d v="2024-10-11T00:00:00"/>
    <s v="9989011050"/>
    <s v="LAS PALMAS"/>
    <n v="1"/>
    <x v="7"/>
  </r>
  <r>
    <d v="2024-10-11T00:00:00"/>
    <s v="9989011051"/>
    <s v="ALMANAC"/>
    <n v="1"/>
    <x v="20"/>
  </r>
  <r>
    <d v="2024-10-11T00:00:00"/>
    <s v="9989011051"/>
    <s v="ALMANAC"/>
    <n v="1"/>
    <x v="11"/>
  </r>
  <r>
    <d v="2024-10-11T00:00:00"/>
    <s v="9989011051"/>
    <s v="ALMANAC"/>
    <n v="2"/>
    <x v="1"/>
  </r>
  <r>
    <d v="2024-10-11T00:00:00"/>
    <s v="9989011051"/>
    <s v="ALMANAC"/>
    <n v="2"/>
    <x v="4"/>
  </r>
  <r>
    <d v="2024-10-11T00:00:00"/>
    <s v="9989011052"/>
    <s v="THE JURY ROOM"/>
    <n v="2"/>
    <x v="8"/>
  </r>
  <r>
    <d v="2024-10-11T00:00:00"/>
    <s v="9989011052"/>
    <s v="THE JURY ROOM"/>
    <n v="1"/>
    <x v="12"/>
  </r>
  <r>
    <d v="2024-10-11T00:00:00"/>
    <s v="9989011052"/>
    <s v="THE JURY ROOM"/>
    <n v="1"/>
    <x v="14"/>
  </r>
  <r>
    <d v="2024-10-11T00:00:00"/>
    <s v="9989011053"/>
    <s v="CPDES PORTUGUESE HALL"/>
    <n v="1"/>
    <x v="18"/>
  </r>
  <r>
    <d v="2024-10-11T00:00:00"/>
    <s v="9989011053"/>
    <s v="CPDES PORTUGUESE HALL"/>
    <n v="1"/>
    <x v="37"/>
  </r>
  <r>
    <d v="2024-10-11T00:00:00"/>
    <s v="9989011054"/>
    <s v="CLUB BOTTOMS UP SF"/>
    <n v="1"/>
    <x v="28"/>
  </r>
  <r>
    <d v="2024-10-11T00:00:00"/>
    <s v="9989011054"/>
    <s v="CLUB BOTTOMS UP SF"/>
    <n v="1"/>
    <x v="14"/>
  </r>
  <r>
    <d v="2024-10-11T00:00:00"/>
    <s v="9989011058"/>
    <s v="LAKESIDE LOUNGE"/>
    <n v="1"/>
    <x v="21"/>
  </r>
  <r>
    <d v="2024-10-11T00:00:00"/>
    <s v="9989011058"/>
    <s v="LAKESIDE LOUNGE"/>
    <n v="2"/>
    <x v="14"/>
  </r>
  <r>
    <d v="2024-10-11T00:00:00"/>
    <s v="9989011058"/>
    <s v="LAKESIDE LOUNGE"/>
    <n v="1"/>
    <x v="28"/>
  </r>
  <r>
    <d v="2024-10-11T00:00:00"/>
    <s v="9989011058"/>
    <s v="LAKESIDE LOUNGE"/>
    <n v="1"/>
    <x v="22"/>
  </r>
  <r>
    <d v="2024-10-15T00:00:00"/>
    <s v="9989011067"/>
    <s v="THE MELT (IRVINE SPECTRUM)"/>
    <n v="2"/>
    <x v="16"/>
  </r>
  <r>
    <d v="2024-10-15T00:00:00"/>
    <s v="9989011067"/>
    <s v="THE MELT (IRVINE SPECTRUM)"/>
    <n v="4"/>
    <x v="8"/>
  </r>
  <r>
    <d v="2024-10-15T00:00:00"/>
    <s v="9989011067"/>
    <s v="THE MELT (IRVINE SPECTRUM)"/>
    <n v="2"/>
    <x v="15"/>
  </r>
  <r>
    <d v="2024-10-15T00:00:00"/>
    <s v="9989011067"/>
    <s v="THE MELT (IRVINE SPECTRUM)"/>
    <n v="2"/>
    <x v="12"/>
  </r>
  <r>
    <d v="2024-10-15T00:00:00"/>
    <s v="9989011067"/>
    <s v="THE MELT (IRVINE SPECTRUM)"/>
    <n v="2"/>
    <x v="5"/>
  </r>
  <r>
    <d v="2024-10-15T00:00:00"/>
    <s v="9989011068"/>
    <s v="THE DEAD FISH"/>
    <n v="1"/>
    <x v="13"/>
  </r>
  <r>
    <d v="2024-10-15T00:00:00"/>
    <s v="9989011068"/>
    <s v="THE DEAD FISH"/>
    <n v="2"/>
    <x v="7"/>
  </r>
  <r>
    <d v="2024-10-15T00:00:00"/>
    <s v="9989011068"/>
    <s v="THE DEAD FISH"/>
    <n v="1"/>
    <x v="24"/>
  </r>
  <r>
    <d v="2024-10-15T00:00:00"/>
    <s v="9989011069"/>
    <s v="SCOMAS RESTAURANT"/>
    <n v="1"/>
    <x v="8"/>
  </r>
  <r>
    <d v="2024-10-15T00:00:00"/>
    <s v="9989011069"/>
    <s v="SCOMAS RESTAURANT"/>
    <n v="2"/>
    <x v="12"/>
  </r>
  <r>
    <d v="2024-10-15T00:00:00"/>
    <s v="9989011069"/>
    <s v="SCOMAS RESTAURANT"/>
    <n v="1"/>
    <x v="7"/>
  </r>
  <r>
    <d v="2024-10-15T00:00:00"/>
    <s v="9989011070"/>
    <s v="BIANCOVERDE-(HOTEL MAC)"/>
    <n v="1"/>
    <x v="12"/>
  </r>
  <r>
    <d v="2024-10-15T00:00:00"/>
    <s v="9989011070"/>
    <s v="BIANCOVERDE-(HOTEL MAC)"/>
    <n v="1"/>
    <x v="8"/>
  </r>
  <r>
    <d v="2024-10-15T00:00:00"/>
    <s v="9989011070"/>
    <s v="BIANCOVERDE-(HOTEL MAC)"/>
    <n v="1"/>
    <x v="15"/>
  </r>
  <r>
    <d v="2024-10-15T00:00:00"/>
    <s v="9989011071"/>
    <s v="STARBIRD CHICKEN - SF CLOUD"/>
    <n v="2"/>
    <x v="4"/>
  </r>
  <r>
    <d v="2024-10-15T00:00:00"/>
    <s v="9989011071"/>
    <s v="STARBIRD CHICKEN - SF CLOUD"/>
    <n v="2"/>
    <x v="11"/>
  </r>
  <r>
    <d v="2024-10-15T00:00:00"/>
    <s v="9989011071"/>
    <s v="STARBIRD CHICKEN - SF CLOUD"/>
    <n v="4"/>
    <x v="3"/>
  </r>
  <r>
    <d v="2024-10-15T00:00:00"/>
    <s v="9989011071"/>
    <s v="STARBIRD CHICKEN - SF CLOUD"/>
    <n v="5"/>
    <x v="11"/>
  </r>
  <r>
    <d v="2024-10-15T00:00:00"/>
    <s v="9989011072"/>
    <s v="LITTLE STAR SOLANO"/>
    <n v="1"/>
    <x v="8"/>
  </r>
  <r>
    <d v="2024-10-15T00:00:00"/>
    <s v="9989011072"/>
    <s v="LITTLE STAR SOLANO"/>
    <n v="1"/>
    <x v="14"/>
  </r>
  <r>
    <d v="2024-10-15T00:00:00"/>
    <s v="9989011072"/>
    <s v="LITTLE STAR SOLANO"/>
    <n v="1"/>
    <x v="9"/>
  </r>
  <r>
    <d v="2024-10-15T00:00:00"/>
    <s v="9989011073"/>
    <s v="PIE PUNKS"/>
    <n v="2"/>
    <x v="13"/>
  </r>
  <r>
    <d v="2024-10-15T00:00:00"/>
    <s v="9989011073"/>
    <s v="PIE PUNKS"/>
    <n v="1"/>
    <x v="5"/>
  </r>
  <r>
    <d v="2024-10-15T00:00:00"/>
    <s v="9989011073"/>
    <s v="PIE PUNKS"/>
    <n v="1"/>
    <x v="19"/>
  </r>
  <r>
    <d v="2024-10-15T00:00:00"/>
    <s v="9989011074"/>
    <s v="CLUB MALLARD"/>
    <n v="1"/>
    <x v="12"/>
  </r>
  <r>
    <d v="2024-10-15T00:00:00"/>
    <s v="9989011075"/>
    <s v="HOTSY TOTSY CLUB"/>
    <n v="1"/>
    <x v="18"/>
  </r>
  <r>
    <d v="2024-10-15T00:00:00"/>
    <s v="9989011076"/>
    <s v="UCSF MEDICAL CENTER MT. ZION"/>
    <n v="1"/>
    <x v="26"/>
  </r>
  <r>
    <d v="2024-10-15T00:00:00"/>
    <s v="9989011077"/>
    <s v="SHOVELS BAR"/>
    <n v="2"/>
    <x v="14"/>
  </r>
  <r>
    <d v="2024-10-15T00:00:00"/>
    <s v="9989011077"/>
    <s v="SHOVELS BAR"/>
    <n v="2"/>
    <x v="8"/>
  </r>
  <r>
    <d v="2024-10-15T00:00:00"/>
    <s v="9989011077"/>
    <s v="SHOVELS BAR"/>
    <n v="1"/>
    <x v="18"/>
  </r>
  <r>
    <d v="2024-10-15T00:00:00"/>
    <s v="9989011077"/>
    <s v="SHOVELS BAR"/>
    <n v="1"/>
    <x v="24"/>
  </r>
  <r>
    <d v="2024-10-15T00:00:00"/>
    <s v="9989011078"/>
    <s v="GATHER"/>
    <n v="2"/>
    <x v="11"/>
  </r>
  <r>
    <d v="2024-10-15T00:00:00"/>
    <s v="9989011078"/>
    <s v="GATHER"/>
    <n v="2"/>
    <x v="1"/>
  </r>
  <r>
    <d v="2024-10-15T00:00:00"/>
    <s v="9989011079"/>
    <s v="BERKELEY TAP HAUS"/>
    <n v="1"/>
    <x v="19"/>
  </r>
  <r>
    <d v="2024-10-15T00:00:00"/>
    <s v="9989011079"/>
    <s v="BERKELEY TAP HAUS"/>
    <n v="1"/>
    <x v="14"/>
  </r>
  <r>
    <d v="2024-10-15T00:00:00"/>
    <s v="9989011080"/>
    <s v="THE COMET"/>
    <n v="1"/>
    <x v="12"/>
  </r>
  <r>
    <d v="2024-10-15T00:00:00"/>
    <s v="9989011080"/>
    <s v="THE COMET"/>
    <n v="1"/>
    <x v="15"/>
  </r>
  <r>
    <d v="2024-10-15T00:00:00"/>
    <s v="9989011081"/>
    <s v="THE MELT (7TH @ FIG)"/>
    <n v="3"/>
    <x v="16"/>
  </r>
  <r>
    <d v="2024-10-15T00:00:00"/>
    <s v="9989011081"/>
    <s v="THE MELT (7TH @ FIG)"/>
    <n v="2"/>
    <x v="8"/>
  </r>
  <r>
    <d v="2024-10-15T00:00:00"/>
    <s v="9989011081"/>
    <s v="THE MELT (7TH @ FIG)"/>
    <n v="1"/>
    <x v="15"/>
  </r>
  <r>
    <d v="2024-10-15T00:00:00"/>
    <s v="9989011081"/>
    <s v="THE MELT (7TH @ FIG)"/>
    <n v="3"/>
    <x v="12"/>
  </r>
  <r>
    <d v="2024-10-15T00:00:00"/>
    <s v="9989011081"/>
    <s v="THE MELT (7TH @ FIG)"/>
    <n v="1"/>
    <x v="9"/>
  </r>
  <r>
    <d v="2024-10-15T00:00:00"/>
    <s v="9989011081"/>
    <s v="THE MELT (7TH @ FIG)"/>
    <n v="1"/>
    <x v="5"/>
  </r>
  <r>
    <d v="2024-10-15T00:00:00"/>
    <s v="9989011082"/>
    <s v="CLUB BOTTOMS UP SF"/>
    <n v="1"/>
    <x v="12"/>
  </r>
  <r>
    <d v="2024-10-15T00:00:00"/>
    <s v="9989011083"/>
    <s v="BRIX BEVERAGE - SAMPLING"/>
    <n v="2"/>
    <x v="11"/>
  </r>
  <r>
    <d v="2024-10-15T00:00:00"/>
    <s v="9989011084"/>
    <s v="STARBIRD CHICKEN - MARINA DEL REY"/>
    <n v="2"/>
    <x v="5"/>
  </r>
  <r>
    <d v="2024-10-15T00:00:00"/>
    <s v="9989011084"/>
    <s v="STARBIRD CHICKEN - MARINA DEL REY"/>
    <n v="2"/>
    <x v="15"/>
  </r>
  <r>
    <d v="2024-10-15T00:00:00"/>
    <s v="9989011084"/>
    <s v="STARBIRD CHICKEN - MARINA DEL REY"/>
    <n v="1"/>
    <x v="1"/>
  </r>
  <r>
    <d v="2024-10-15T00:00:00"/>
    <s v="9989011084"/>
    <s v="STARBIRD CHICKEN - MARINA DEL REY"/>
    <n v="1"/>
    <x v="11"/>
  </r>
  <r>
    <d v="2024-10-15T00:00:00"/>
    <s v="9989011084"/>
    <s v="STARBIRD CHICKEN - MARINA DEL REY"/>
    <n v="1"/>
    <x v="3"/>
  </r>
  <r>
    <d v="2024-10-15T00:00:00"/>
    <s v="9989011084"/>
    <s v="STARBIRD CHICKEN - MARINA DEL REY"/>
    <n v="1"/>
    <x v="4"/>
  </r>
  <r>
    <d v="2024-10-15T00:00:00"/>
    <s v="9989011084"/>
    <s v="STARBIRD CHICKEN - MARINA DEL REY"/>
    <n v="1"/>
    <x v="5"/>
  </r>
  <r>
    <d v="2024-10-15T00:00:00"/>
    <s v="9989011085"/>
    <s v="STARBIRD CHICKEN - SOUTH SAN FRANCISCO"/>
    <n v="3"/>
    <x v="12"/>
  </r>
  <r>
    <d v="2024-10-15T00:00:00"/>
    <s v="9989011085"/>
    <s v="STARBIRD CHICKEN - SOUTH SAN FRANCISCO"/>
    <n v="2"/>
    <x v="8"/>
  </r>
  <r>
    <d v="2024-10-15T00:00:00"/>
    <s v="9989011085"/>
    <s v="STARBIRD CHICKEN - SOUTH SAN FRANCISCO"/>
    <n v="1"/>
    <x v="10"/>
  </r>
  <r>
    <d v="2024-10-15T00:00:00"/>
    <s v="9989011085"/>
    <s v="STARBIRD CHICKEN - SOUTH SAN FRANCISCO"/>
    <n v="1"/>
    <x v="23"/>
  </r>
  <r>
    <d v="2024-10-15T00:00:00"/>
    <s v="9989011085"/>
    <s v="STARBIRD CHICKEN - SOUTH SAN FRANCISCO"/>
    <n v="1"/>
    <x v="5"/>
  </r>
  <r>
    <d v="2024-10-15T00:00:00"/>
    <s v="9989011085"/>
    <s v="STARBIRD CHICKEN - SOUTH SAN FRANCISCO"/>
    <n v="4"/>
    <x v="1"/>
  </r>
  <r>
    <d v="2024-10-15T00:00:00"/>
    <s v="9989011085"/>
    <s v="STARBIRD CHICKEN - SOUTH SAN FRANCISCO"/>
    <n v="1"/>
    <x v="11"/>
  </r>
  <r>
    <d v="2024-10-15T00:00:00"/>
    <s v="9989011085"/>
    <s v="STARBIRD CHICKEN - SOUTH SAN FRANCISCO"/>
    <n v="1"/>
    <x v="4"/>
  </r>
  <r>
    <d v="2024-10-15T00:00:00"/>
    <s v="9989011085"/>
    <s v="STARBIRD CHICKEN - SOUTH SAN FRANCISCO"/>
    <n v="1"/>
    <x v="3"/>
  </r>
  <r>
    <d v="2024-10-15T00:00:00"/>
    <s v="9989011086"/>
    <s v="THE STORK CLUB"/>
    <n v="1"/>
    <x v="8"/>
  </r>
  <r>
    <d v="2024-10-15T00:00:00"/>
    <s v="9989011086"/>
    <s v="THE STORK CLUB"/>
    <n v="1"/>
    <x v="18"/>
  </r>
  <r>
    <d v="2024-10-15T00:00:00"/>
    <s v="9989011086"/>
    <s v="THE STORK CLUB"/>
    <n v="1"/>
    <x v="19"/>
  </r>
  <r>
    <d v="2024-10-15T00:00:00"/>
    <s v="9989011086"/>
    <s v="THE STORK CLUB"/>
    <n v="1"/>
    <x v="12"/>
  </r>
  <r>
    <d v="2024-10-15T00:00:00"/>
    <s v="9989011088"/>
    <s v="STARBIRD CHICKEN - FAIRFAX"/>
    <n v="1"/>
    <x v="17"/>
  </r>
  <r>
    <d v="2024-10-15T00:00:00"/>
    <s v="9989011088"/>
    <s v="STARBIRD CHICKEN - FAIRFAX"/>
    <n v="1"/>
    <x v="12"/>
  </r>
  <r>
    <d v="2024-10-15T00:00:00"/>
    <s v="9989011088"/>
    <s v="STARBIRD CHICKEN - FAIRFAX"/>
    <n v="1"/>
    <x v="1"/>
  </r>
  <r>
    <d v="2024-10-15T00:00:00"/>
    <s v="9989011088"/>
    <s v="STARBIRD CHICKEN - FAIRFAX"/>
    <n v="1"/>
    <x v="11"/>
  </r>
  <r>
    <d v="2024-10-15T00:00:00"/>
    <s v="9989011088"/>
    <s v="STARBIRD CHICKEN - FAIRFAX"/>
    <n v="1"/>
    <x v="4"/>
  </r>
  <r>
    <d v="2024-10-15T00:00:00"/>
    <s v="9989011088"/>
    <s v="STARBIRD CHICKEN - FAIRFAX"/>
    <n v="1"/>
    <x v="3"/>
  </r>
  <r>
    <d v="2024-10-16T00:00:00"/>
    <s v="9989011089"/>
    <s v="BEST WESTERN EL RANCHO INN"/>
    <n v="2"/>
    <x v="21"/>
  </r>
  <r>
    <d v="2024-10-16T00:00:00"/>
    <s v="9989011089"/>
    <s v="BEST WESTERN EL RANCHO INN"/>
    <n v="2"/>
    <x v="25"/>
  </r>
  <r>
    <d v="2024-10-16T00:00:00"/>
    <s v="9989011090"/>
    <s v="STARBIRD CHICKEN - SF CLOUD"/>
    <n v="5"/>
    <x v="1"/>
  </r>
  <r>
    <d v="2024-10-16T00:00:00"/>
    <s v="9989011091"/>
    <s v="CANYON CLUB BREWERY"/>
    <n v="1"/>
    <x v="14"/>
  </r>
  <r>
    <d v="2024-10-16T00:00:00"/>
    <s v="9989011091"/>
    <s v="CANYON CLUB BREWERY"/>
    <n v="2"/>
    <x v="7"/>
  </r>
  <r>
    <d v="2024-10-16T00:00:00"/>
    <s v="9989011091"/>
    <s v="CANYON CLUB BREWERY"/>
    <n v="1"/>
    <x v="15"/>
  </r>
  <r>
    <d v="2024-10-16T00:00:00"/>
    <s v="9989011092"/>
    <s v="PANCOAST PIZZA"/>
    <n v="1"/>
    <x v="16"/>
  </r>
  <r>
    <d v="2024-10-16T00:00:00"/>
    <s v="9989011092"/>
    <s v="PANCOAST PIZZA"/>
    <n v="1"/>
    <x v="24"/>
  </r>
  <r>
    <d v="2024-10-16T00:00:00"/>
    <s v="9989011092"/>
    <s v="PANCOAST PIZZA"/>
    <n v="1"/>
    <x v="17"/>
  </r>
  <r>
    <d v="2024-10-16T00:00:00"/>
    <s v="9989011092"/>
    <s v="PANCOAST PIZZA"/>
    <n v="1"/>
    <x v="5"/>
  </r>
  <r>
    <d v="2024-10-16T00:00:00"/>
    <s v="9989011092"/>
    <s v="PANCOAST PIZZA"/>
    <n v="1"/>
    <x v="12"/>
  </r>
  <r>
    <d v="2024-10-16T00:00:00"/>
    <s v="9989011092"/>
    <s v="PANCOAST PIZZA"/>
    <n v="1"/>
    <x v="8"/>
  </r>
  <r>
    <d v="2024-10-16T00:00:00"/>
    <s v="9989011093"/>
    <s v="STATE OF MIND PUBLIC HOUSE REDWOOD CITY"/>
    <n v="1"/>
    <x v="8"/>
  </r>
  <r>
    <d v="2024-10-16T00:00:00"/>
    <s v="9989011093"/>
    <s v="STATE OF MIND PUBLIC HOUSE REDWOOD CITY"/>
    <n v="1"/>
    <x v="7"/>
  </r>
  <r>
    <d v="2024-10-16T00:00:00"/>
    <s v="9989011093"/>
    <s v="STATE OF MIND PUBLIC HOUSE REDWOOD CITY"/>
    <n v="1"/>
    <x v="9"/>
  </r>
  <r>
    <d v="2024-10-16T00:00:00"/>
    <s v="9989011094"/>
    <s v="THE MELT (DANVILLE)"/>
    <n v="2"/>
    <x v="16"/>
  </r>
  <r>
    <d v="2024-10-16T00:00:00"/>
    <s v="9989011094"/>
    <s v="THE MELT (DANVILLE)"/>
    <n v="2"/>
    <x v="8"/>
  </r>
  <r>
    <d v="2024-10-16T00:00:00"/>
    <s v="9989011094"/>
    <s v="THE MELT (DANVILLE)"/>
    <n v="1"/>
    <x v="5"/>
  </r>
  <r>
    <d v="2024-10-16T00:00:00"/>
    <s v="9989011094"/>
    <s v="THE MELT (DANVILLE)"/>
    <n v="1"/>
    <x v="10"/>
  </r>
  <r>
    <d v="2024-10-16T00:00:00"/>
    <s v="9989011094"/>
    <s v="THE MELT (DANVILLE)"/>
    <n v="1"/>
    <x v="12"/>
  </r>
  <r>
    <d v="2024-10-16T00:00:00"/>
    <s v="9989011094"/>
    <s v="THE MELT (DANVILLE)"/>
    <n v="1"/>
    <x v="9"/>
  </r>
  <r>
    <d v="2024-10-16T00:00:00"/>
    <s v="9989011094"/>
    <s v="THE MELT (DANVILLE)"/>
    <n v="1"/>
    <x v="5"/>
  </r>
  <r>
    <d v="2024-10-16T00:00:00"/>
    <s v="9989011095"/>
    <s v="BLUE LAGOON"/>
    <n v="1"/>
    <x v="28"/>
  </r>
  <r>
    <d v="2024-10-16T00:00:00"/>
    <s v="9989011096"/>
    <s v="LUNA LOCA (JAINS FOODS)"/>
    <n v="1"/>
    <x v="7"/>
  </r>
  <r>
    <d v="2024-10-16T00:00:00"/>
    <s v="9989011097"/>
    <s v="THE MELT (STANFORD)"/>
    <n v="2"/>
    <x v="8"/>
  </r>
  <r>
    <d v="2024-10-16T00:00:00"/>
    <s v="9989011097"/>
    <s v="THE MELT (STANFORD)"/>
    <n v="2"/>
    <x v="5"/>
  </r>
  <r>
    <d v="2024-10-16T00:00:00"/>
    <s v="9989011097"/>
    <s v="THE MELT (STANFORD)"/>
    <n v="1"/>
    <x v="12"/>
  </r>
  <r>
    <d v="2024-10-16T00:00:00"/>
    <s v="9989011097"/>
    <s v="THE MELT (STANFORD)"/>
    <n v="1"/>
    <x v="9"/>
  </r>
  <r>
    <d v="2024-10-16T00:00:00"/>
    <s v="9989011097"/>
    <s v="THE MELT (STANFORD)"/>
    <n v="1"/>
    <x v="10"/>
  </r>
  <r>
    <d v="2024-10-16T00:00:00"/>
    <s v="9989011098"/>
    <s v="STATE OF MIND SLICE HOUSE  (PALO ALTO)"/>
    <n v="1"/>
    <x v="8"/>
  </r>
  <r>
    <d v="2024-10-16T00:00:00"/>
    <s v="9989011098"/>
    <s v="STATE OF MIND SLICE HOUSE  (PALO ALTO)"/>
    <n v="2"/>
    <x v="15"/>
  </r>
  <r>
    <d v="2024-10-16T00:00:00"/>
    <s v="9989011098"/>
    <s v="STATE OF MIND SLICE HOUSE  (PALO ALTO)"/>
    <n v="1"/>
    <x v="7"/>
  </r>
  <r>
    <d v="2024-10-16T00:00:00"/>
    <s v="9989011098"/>
    <s v="STATE OF MIND SLICE HOUSE  (PALO ALTO)"/>
    <n v="1"/>
    <x v="9"/>
  </r>
  <r>
    <d v="2024-10-16T00:00:00"/>
    <s v="9989011098"/>
    <s v="STATE OF MIND SLICE HOUSE  (PALO ALTO)"/>
    <n v="1"/>
    <x v="17"/>
  </r>
  <r>
    <d v="2024-10-16T00:00:00"/>
    <s v="9989011099"/>
    <s v="CALI KID BURGERS AND SHAKES"/>
    <n v="2"/>
    <x v="17"/>
  </r>
  <r>
    <d v="2024-10-16T00:00:00"/>
    <s v="9989011099"/>
    <s v="CALI KID BURGERS AND SHAKES"/>
    <n v="1"/>
    <x v="5"/>
  </r>
  <r>
    <d v="2024-10-16T00:00:00"/>
    <s v="9989011099"/>
    <s v="CALI KID BURGERS AND SHAKES"/>
    <n v="1"/>
    <x v="9"/>
  </r>
  <r>
    <d v="2024-10-16T00:00:00"/>
    <s v="9989011099"/>
    <s v="CALI KID BURGERS AND SHAKES"/>
    <n v="1"/>
    <x v="12"/>
  </r>
  <r>
    <d v="2024-10-16T00:00:00"/>
    <s v="9989011099"/>
    <s v="CALI KID BURGERS AND SHAKES"/>
    <n v="1"/>
    <x v="15"/>
  </r>
  <r>
    <d v="2024-10-16T00:00:00"/>
    <s v="9989011099"/>
    <s v="CALI KID BURGERS AND SHAKES"/>
    <n v="1"/>
    <x v="8"/>
  </r>
  <r>
    <d v="2024-10-16T00:00:00"/>
    <s v="9989011099"/>
    <s v="CALI KID BURGERS AND SHAKES"/>
    <n v="2"/>
    <x v="10"/>
  </r>
  <r>
    <d v="2024-10-16T00:00:00"/>
    <s v="9989011100"/>
    <s v="STATE OF MIND PUBLIC HOUSE &amp; PIZZERIA (LOS ALTOS)"/>
    <n v="1"/>
    <x v="8"/>
  </r>
  <r>
    <d v="2024-10-16T00:00:00"/>
    <s v="9989011100"/>
    <s v="STATE OF MIND PUBLIC HOUSE &amp; PIZZERIA (LOS ALTOS)"/>
    <n v="1"/>
    <x v="15"/>
  </r>
  <r>
    <d v="2024-10-16T00:00:00"/>
    <s v="9989011100"/>
    <s v="STATE OF MIND PUBLIC HOUSE &amp; PIZZERIA (LOS ALTOS)"/>
    <n v="2"/>
    <x v="7"/>
  </r>
  <r>
    <d v="2024-10-16T00:00:00"/>
    <s v="9989011100"/>
    <s v="STATE OF MIND PUBLIC HOUSE &amp; PIZZERIA (LOS ALTOS)"/>
    <n v="1"/>
    <x v="9"/>
  </r>
  <r>
    <d v="2024-10-16T00:00:00"/>
    <s v="9989011103"/>
    <s v="MONICAS"/>
    <n v="3"/>
    <x v="7"/>
  </r>
  <r>
    <d v="2024-10-16T00:00:00"/>
    <s v="9989011103"/>
    <s v="MONICAS"/>
    <n v="2"/>
    <x v="15"/>
  </r>
  <r>
    <d v="2024-10-16T00:00:00"/>
    <s v="9989011103"/>
    <s v="MONICAS"/>
    <n v="2"/>
    <x v="8"/>
  </r>
  <r>
    <d v="2024-10-16T00:00:00"/>
    <s v="9989011103"/>
    <s v="MONICAS"/>
    <n v="1"/>
    <x v="12"/>
  </r>
  <r>
    <d v="2024-10-16T00:00:00"/>
    <s v="9989011103"/>
    <s v="MONICAS"/>
    <n v="2"/>
    <x v="6"/>
  </r>
  <r>
    <d v="2024-10-16T00:00:00"/>
    <s v="9989011104"/>
    <s v="MONTE CARLO"/>
    <n v="2"/>
    <x v="28"/>
  </r>
  <r>
    <d v="2024-10-16T00:00:00"/>
    <s v="9989011104"/>
    <s v="MONTE CARLO"/>
    <n v="2"/>
    <x v="29"/>
  </r>
  <r>
    <d v="2024-10-16T00:00:00"/>
    <s v="9989011104"/>
    <s v="MONTE CARLO"/>
    <n v="3"/>
    <x v="22"/>
  </r>
  <r>
    <d v="2024-10-16T00:00:00"/>
    <s v="9989011105"/>
    <s v="THE YARD"/>
    <n v="2"/>
    <x v="27"/>
  </r>
  <r>
    <d v="2024-10-16T00:00:00"/>
    <s v="9989011105"/>
    <s v="THE YARD"/>
    <n v="2"/>
    <x v="13"/>
  </r>
  <r>
    <d v="2024-10-16T00:00:00"/>
    <s v="9989011106"/>
    <s v="BOSCO'S ROADHOUSE"/>
    <n v="2"/>
    <x v="10"/>
  </r>
  <r>
    <d v="2024-10-16T00:00:00"/>
    <s v="9989011106"/>
    <s v="BOSCO'S ROADHOUSE"/>
    <n v="1"/>
    <x v="8"/>
  </r>
  <r>
    <d v="2024-10-16T00:00:00"/>
    <s v="9989011106"/>
    <s v="BOSCO'S ROADHOUSE"/>
    <n v="1"/>
    <x v="12"/>
  </r>
  <r>
    <d v="2024-10-16T00:00:00"/>
    <s v="9989011107"/>
    <s v="ROCCA RESTAURANT"/>
    <n v="2"/>
    <x v="7"/>
  </r>
  <r>
    <d v="2024-10-16T00:00:00"/>
    <s v="9989011108"/>
    <s v="BERTS STADIUM SPORTS BAR"/>
    <n v="2"/>
    <x v="8"/>
  </r>
  <r>
    <d v="2024-10-16T00:00:00"/>
    <s v="9989011108"/>
    <s v="BERTS STADIUM SPORTS BAR"/>
    <n v="1"/>
    <x v="15"/>
  </r>
  <r>
    <d v="2024-10-16T00:00:00"/>
    <s v="9989011109"/>
    <s v="CHABOT THEATER"/>
    <n v="3"/>
    <x v="8"/>
  </r>
  <r>
    <d v="2024-10-16T00:00:00"/>
    <s v="9989011109"/>
    <s v="CHABOT THEATER"/>
    <n v="3"/>
    <x v="5"/>
  </r>
  <r>
    <d v="2024-10-16T00:00:00"/>
    <s v="9989011109"/>
    <s v="CHABOT THEATER"/>
    <n v="3"/>
    <x v="9"/>
  </r>
  <r>
    <d v="2024-10-16T00:00:00"/>
    <s v="9989011109"/>
    <s v="CHABOT THEATER"/>
    <n v="2"/>
    <x v="15"/>
  </r>
  <r>
    <d v="2024-10-16T00:00:00"/>
    <s v="9989011109"/>
    <s v="CHABOT THEATER"/>
    <n v="2"/>
    <x v="6"/>
  </r>
  <r>
    <d v="2024-10-16T00:00:00"/>
    <s v="9989011109"/>
    <s v="CHABOT THEATER"/>
    <n v="2"/>
    <x v="7"/>
  </r>
  <r>
    <d v="2024-10-16T00:00:00"/>
    <s v="9989011109"/>
    <s v="CHABOT THEATER"/>
    <n v="2"/>
    <x v="10"/>
  </r>
  <r>
    <d v="2024-10-16T00:00:00"/>
    <s v="9989011110"/>
    <s v="PAUL &amp; EDDIES &amp; ASSOCIATES"/>
    <n v="1"/>
    <x v="15"/>
  </r>
  <r>
    <d v="2024-10-16T00:00:00"/>
    <s v="9989011110"/>
    <s v="PAUL &amp; EDDIES &amp; ASSOCIATES"/>
    <n v="1"/>
    <x v="8"/>
  </r>
  <r>
    <d v="2024-10-17T00:00:00"/>
    <s v="9989011113"/>
    <s v="THE STAR ON PARK"/>
    <n v="1"/>
    <x v="8"/>
  </r>
  <r>
    <d v="2024-10-17T00:00:00"/>
    <s v="9989011113"/>
    <s v="THE STAR ON PARK"/>
    <n v="1"/>
    <x v="9"/>
  </r>
  <r>
    <d v="2024-10-17T00:00:00"/>
    <s v="9989011113"/>
    <s v="THE STAR ON PARK"/>
    <n v="1"/>
    <x v="12"/>
  </r>
  <r>
    <d v="2024-10-17T00:00:00"/>
    <s v="9989011113"/>
    <s v="THE STAR ON PARK"/>
    <n v="1"/>
    <x v="10"/>
  </r>
  <r>
    <d v="2024-10-17T00:00:00"/>
    <s v="9989011114"/>
    <s v="HOBNOB RESTAURANT"/>
    <n v="1"/>
    <x v="19"/>
  </r>
  <r>
    <d v="2024-10-17T00:00:00"/>
    <s v="9989011114"/>
    <s v="HOBNOB RESTAURANT"/>
    <n v="1"/>
    <x v="24"/>
  </r>
  <r>
    <d v="2024-10-17T00:00:00"/>
    <s v="9989011115"/>
    <s v="CENOTE"/>
    <n v="2"/>
    <x v="15"/>
  </r>
  <r>
    <d v="2024-10-17T00:00:00"/>
    <s v="9989011115"/>
    <s v="CENOTE"/>
    <n v="1"/>
    <x v="8"/>
  </r>
  <r>
    <d v="2024-10-17T00:00:00"/>
    <s v="9989011117"/>
    <s v="SAN FRANCISCO PLAYHOUSE"/>
    <n v="1"/>
    <x v="12"/>
  </r>
  <r>
    <d v="2024-10-17T00:00:00"/>
    <s v="9989011117"/>
    <s v="SAN FRANCISCO PLAYHOUSE"/>
    <n v="1"/>
    <x v="8"/>
  </r>
  <r>
    <d v="2024-10-17T00:00:00"/>
    <s v="9989011117"/>
    <s v="SAN FRANCISCO PLAYHOUSE"/>
    <n v="1"/>
    <x v="19"/>
  </r>
  <r>
    <d v="2024-10-17T00:00:00"/>
    <s v="9989011118"/>
    <s v="THE MELT (7TH @ FIG)"/>
    <n v="1"/>
    <x v="10"/>
  </r>
  <r>
    <d v="2024-10-17T00:00:00"/>
    <s v="9989011119"/>
    <s v="STARBIRD CHICKEN - PALO ALTO"/>
    <n v="3"/>
    <x v="8"/>
  </r>
  <r>
    <d v="2024-10-17T00:00:00"/>
    <s v="9989011119"/>
    <s v="STARBIRD CHICKEN - PALO ALTO"/>
    <n v="3"/>
    <x v="5"/>
  </r>
  <r>
    <d v="2024-10-17T00:00:00"/>
    <s v="9989011119"/>
    <s v="STARBIRD CHICKEN - PALO ALTO"/>
    <n v="3"/>
    <x v="12"/>
  </r>
  <r>
    <d v="2024-10-17T00:00:00"/>
    <s v="9989011119"/>
    <s v="STARBIRD CHICKEN - PALO ALTO"/>
    <n v="4"/>
    <x v="1"/>
  </r>
  <r>
    <d v="2024-10-17T00:00:00"/>
    <s v="9989011121"/>
    <s v="BELLA TRATTORIA"/>
    <n v="3"/>
    <x v="12"/>
  </r>
  <r>
    <d v="2024-10-17T00:00:00"/>
    <s v="9989011121"/>
    <s v="BELLA TRATTORIA"/>
    <n v="2"/>
    <x v="15"/>
  </r>
  <r>
    <d v="2024-10-17T00:00:00"/>
    <s v="9989011121"/>
    <s v="BELLA TRATTORIA"/>
    <n v="2"/>
    <x v="8"/>
  </r>
  <r>
    <d v="2024-10-17T00:00:00"/>
    <s v="9989011122"/>
    <s v="STRAITS SANTANA ROW"/>
    <n v="1"/>
    <x v="15"/>
  </r>
  <r>
    <d v="2024-10-17T00:00:00"/>
    <s v="9989011122"/>
    <s v="STRAITS SANTANA ROW"/>
    <n v="1"/>
    <x v="12"/>
  </r>
  <r>
    <d v="2024-10-17T00:00:00"/>
    <s v="9989011122"/>
    <s v="STRAITS SANTANA ROW"/>
    <n v="1"/>
    <x v="24"/>
  </r>
  <r>
    <d v="2024-10-17T00:00:00"/>
    <s v="9989011122"/>
    <s v="STRAITS SANTANA ROW"/>
    <n v="1"/>
    <x v="28"/>
  </r>
  <r>
    <d v="2024-10-17T00:00:00"/>
    <s v="9989011122"/>
    <s v="STRAITS SANTANA ROW"/>
    <n v="1"/>
    <x v="10"/>
  </r>
  <r>
    <d v="2024-10-17T00:00:00"/>
    <s v="9989011123"/>
    <s v="RENEGADES"/>
    <n v="1"/>
    <x v="26"/>
  </r>
  <r>
    <d v="2024-10-17T00:00:00"/>
    <s v="9989011123"/>
    <s v="RENEGADES"/>
    <n v="1"/>
    <x v="13"/>
  </r>
  <r>
    <d v="2024-10-17T00:00:00"/>
    <s v="9989011123"/>
    <s v="RENEGADES"/>
    <n v="1"/>
    <x v="27"/>
  </r>
  <r>
    <d v="2024-10-17T00:00:00"/>
    <s v="9989011123"/>
    <s v="RENEGADES"/>
    <n v="1"/>
    <x v="21"/>
  </r>
  <r>
    <d v="2024-10-17T00:00:00"/>
    <s v="9989011123"/>
    <s v="RENEGADES"/>
    <n v="1"/>
    <x v="14"/>
  </r>
  <r>
    <d v="2024-10-17T00:00:00"/>
    <s v="9989011124"/>
    <s v="THE TEMPLE BAR"/>
    <n v="1"/>
    <x v="28"/>
  </r>
  <r>
    <d v="2024-10-17T00:00:00"/>
    <s v="9989011124"/>
    <s v="THE TEMPLE BAR"/>
    <n v="1"/>
    <x v="22"/>
  </r>
  <r>
    <d v="2024-10-17T00:00:00"/>
    <s v="9989011124"/>
    <s v="THE TEMPLE BAR"/>
    <n v="2"/>
    <x v="21"/>
  </r>
  <r>
    <d v="2024-10-17T00:00:00"/>
    <s v="9989011124"/>
    <s v="THE TEMPLE BAR"/>
    <n v="1"/>
    <x v="8"/>
  </r>
  <r>
    <d v="2024-10-17T00:00:00"/>
    <s v="9989011124"/>
    <s v="THE TEMPLE BAR"/>
    <n v="1"/>
    <x v="12"/>
  </r>
  <r>
    <d v="2024-10-17T00:00:00"/>
    <s v="9989011126"/>
    <s v="CITY NIGHTS"/>
    <n v="1"/>
    <x v="22"/>
  </r>
  <r>
    <d v="2024-10-17T00:00:00"/>
    <s v="9989011126"/>
    <s v="CITY NIGHTS"/>
    <n v="1"/>
    <x v="21"/>
  </r>
  <r>
    <d v="2024-10-17T00:00:00"/>
    <s v="9989011126"/>
    <s v="CITY NIGHTS"/>
    <n v="1"/>
    <x v="28"/>
  </r>
  <r>
    <d v="2024-10-17T00:00:00"/>
    <s v="9989011126"/>
    <s v="CITY NIGHTS"/>
    <n v="1"/>
    <x v="12"/>
  </r>
  <r>
    <d v="2024-10-17T00:00:00"/>
    <s v="9989011127"/>
    <s v="STARBIRD CHICKEN - SAN JOSE"/>
    <n v="1"/>
    <x v="8"/>
  </r>
  <r>
    <d v="2024-10-17T00:00:00"/>
    <s v="9989011127"/>
    <s v="STARBIRD CHICKEN - SAN JOSE"/>
    <n v="1"/>
    <x v="5"/>
  </r>
  <r>
    <d v="2024-10-17T00:00:00"/>
    <s v="9989011127"/>
    <s v="STARBIRD CHICKEN - SAN JOSE"/>
    <n v="1"/>
    <x v="15"/>
  </r>
  <r>
    <d v="2024-10-17T00:00:00"/>
    <s v="9989011127"/>
    <s v="STARBIRD CHICKEN - SAN JOSE"/>
    <n v="1"/>
    <x v="3"/>
  </r>
  <r>
    <d v="2024-10-17T00:00:00"/>
    <s v="9989011129"/>
    <s v="MONROE"/>
    <n v="1"/>
    <x v="18"/>
  </r>
  <r>
    <d v="2024-10-17T00:00:00"/>
    <s v="9989011129"/>
    <s v="MONROE"/>
    <n v="1"/>
    <x v="8"/>
  </r>
  <r>
    <d v="2024-10-17T00:00:00"/>
    <s v="9989011129"/>
    <s v="MONROE"/>
    <n v="1"/>
    <x v="14"/>
  </r>
  <r>
    <d v="2024-10-17T00:00:00"/>
    <s v="9989011129"/>
    <s v="MONROE"/>
    <n v="1"/>
    <x v="19"/>
  </r>
  <r>
    <d v="2024-10-17T00:00:00"/>
    <s v="9989011130"/>
    <s v="JUANS PLACE"/>
    <n v="1"/>
    <x v="13"/>
  </r>
  <r>
    <d v="2024-10-17T00:00:00"/>
    <s v="9989011132"/>
    <s v="EL TENAMPA"/>
    <n v="3"/>
    <x v="28"/>
  </r>
  <r>
    <d v="2024-10-17T00:00:00"/>
    <s v="9989011133"/>
    <s v="SWELL BAR"/>
    <n v="1"/>
    <x v="21"/>
  </r>
  <r>
    <d v="2024-10-17T00:00:00"/>
    <s v="9989011133"/>
    <s v="SWELL BAR"/>
    <n v="1"/>
    <x v="8"/>
  </r>
  <r>
    <d v="2024-10-17T00:00:00"/>
    <s v="9989011133"/>
    <s v="SWELL BAR"/>
    <n v="1"/>
    <x v="10"/>
  </r>
  <r>
    <d v="2024-10-17T00:00:00"/>
    <s v="9989011134"/>
    <s v="STARBIRD CHICKEN - MARINA DEL REY"/>
    <n v="1"/>
    <x v="10"/>
  </r>
  <r>
    <d v="2024-10-18T00:00:00"/>
    <s v="9989011136"/>
    <s v="CRYBABY"/>
    <n v="1"/>
    <x v="28"/>
  </r>
  <r>
    <d v="2024-10-18T00:00:00"/>
    <s v="9989011136"/>
    <s v="CRYBABY"/>
    <n v="1"/>
    <x v="14"/>
  </r>
  <r>
    <d v="2024-10-18T00:00:00"/>
    <s v="9989011136"/>
    <s v="CRYBABY"/>
    <n v="1"/>
    <x v="12"/>
  </r>
  <r>
    <d v="2024-10-18T00:00:00"/>
    <s v="9989011136"/>
    <s v="CRYBABY"/>
    <n v="1"/>
    <x v="10"/>
  </r>
  <r>
    <d v="2024-10-18T00:00:00"/>
    <s v="9989011137"/>
    <s v="HOG ISLAND OYSTER CO LARKSPUR"/>
    <n v="2"/>
    <x v="8"/>
  </r>
  <r>
    <d v="2024-10-18T00:00:00"/>
    <s v="9989011137"/>
    <s v="HOG ISLAND OYSTER CO LARKSPUR"/>
    <n v="2"/>
    <x v="15"/>
  </r>
  <r>
    <d v="2024-10-18T00:00:00"/>
    <s v="9989011137"/>
    <s v="HOG ISLAND OYSTER CO LARKSPUR"/>
    <n v="1"/>
    <x v="5"/>
  </r>
  <r>
    <d v="2024-10-18T00:00:00"/>
    <s v="9989011138"/>
    <s v="STARBIRD CHICKEN - CORTE MADERA"/>
    <n v="2"/>
    <x v="8"/>
  </r>
  <r>
    <d v="2024-10-18T00:00:00"/>
    <s v="9989011138"/>
    <s v="STARBIRD CHICKEN - CORTE MADERA"/>
    <n v="2"/>
    <x v="15"/>
  </r>
  <r>
    <d v="2024-10-18T00:00:00"/>
    <s v="9989011138"/>
    <s v="STARBIRD CHICKEN - CORTE MADERA"/>
    <n v="2"/>
    <x v="5"/>
  </r>
  <r>
    <d v="2024-10-18T00:00:00"/>
    <s v="9989011138"/>
    <s v="STARBIRD CHICKEN - CORTE MADERA"/>
    <n v="1"/>
    <x v="17"/>
  </r>
  <r>
    <d v="2024-10-18T00:00:00"/>
    <s v="9989011138"/>
    <s v="STARBIRD CHICKEN - CORTE MADERA"/>
    <n v="1"/>
    <x v="23"/>
  </r>
  <r>
    <d v="2024-10-18T00:00:00"/>
    <s v="9989011138"/>
    <s v="STARBIRD CHICKEN - CORTE MADERA"/>
    <n v="2"/>
    <x v="1"/>
  </r>
  <r>
    <d v="2024-10-18T00:00:00"/>
    <s v="9989011138"/>
    <s v="STARBIRD CHICKEN - CORTE MADERA"/>
    <n v="2"/>
    <x v="4"/>
  </r>
  <r>
    <d v="2024-10-18T00:00:00"/>
    <s v="9989011139"/>
    <s v="THE JUNCTION"/>
    <n v="1"/>
    <x v="7"/>
  </r>
  <r>
    <d v="2024-10-18T00:00:00"/>
    <s v="9989011139"/>
    <s v="THE JUNCTION"/>
    <n v="1"/>
    <x v="24"/>
  </r>
  <r>
    <d v="2024-10-18T00:00:00"/>
    <s v="9989011139"/>
    <s v="THE JUNCTION"/>
    <n v="1"/>
    <x v="15"/>
  </r>
  <r>
    <d v="2024-10-18T00:00:00"/>
    <s v="9989011141"/>
    <s v="ISLAND SAVOY MARKET"/>
    <n v="2"/>
    <x v="1"/>
  </r>
  <r>
    <d v="2024-10-18T00:00:00"/>
    <s v="9989011141"/>
    <s v="ISLAND SAVOY MARKET"/>
    <n v="2"/>
    <x v="11"/>
  </r>
  <r>
    <d v="2024-10-18T00:00:00"/>
    <s v="9989011141"/>
    <s v="ISLAND SAVOY MARKET"/>
    <n v="1"/>
    <x v="3"/>
  </r>
  <r>
    <d v="2024-10-18T00:00:00"/>
    <s v="9989011141"/>
    <s v="ISLAND SAVOY MARKET"/>
    <n v="2"/>
    <x v="4"/>
  </r>
  <r>
    <d v="2024-10-18T00:00:00"/>
    <s v="9989011141"/>
    <s v="ISLAND SAVOY MARKET"/>
    <n v="2"/>
    <x v="2"/>
  </r>
  <r>
    <d v="2024-10-18T00:00:00"/>
    <s v="9989011141"/>
    <s v="ISLAND SAVOY MARKET"/>
    <n v="2"/>
    <x v="20"/>
  </r>
  <r>
    <d v="2024-10-18T00:00:00"/>
    <s v="9989011141"/>
    <s v="ISLAND SAVOY MARKET"/>
    <n v="2"/>
    <x v="0"/>
  </r>
  <r>
    <d v="2024-10-18T00:00:00"/>
    <s v="9989011142"/>
    <s v="ALAMEDA BREWING"/>
    <n v="2"/>
    <x v="1"/>
  </r>
  <r>
    <d v="2024-10-18T00:00:00"/>
    <s v="9989011142"/>
    <s v="ALAMEDA BREWING"/>
    <n v="2"/>
    <x v="11"/>
  </r>
  <r>
    <d v="2024-10-18T00:00:00"/>
    <s v="9989011142"/>
    <s v="ALAMEDA BREWING"/>
    <n v="1"/>
    <x v="2"/>
  </r>
  <r>
    <d v="2024-10-18T00:00:00"/>
    <s v="9989011142"/>
    <s v="ALAMEDA BREWING"/>
    <n v="2"/>
    <x v="20"/>
  </r>
  <r>
    <d v="2024-10-18T00:00:00"/>
    <s v="9989011142"/>
    <s v="ALAMEDA BREWING"/>
    <n v="2"/>
    <x v="3"/>
  </r>
  <r>
    <d v="2024-10-18T00:00:00"/>
    <s v="9989011142"/>
    <s v="ALAMEDA BREWING"/>
    <n v="1"/>
    <x v="0"/>
  </r>
  <r>
    <d v="2024-10-18T00:00:00"/>
    <s v="9989011143"/>
    <s v="LUCKY 13"/>
    <n v="1"/>
    <x v="15"/>
  </r>
  <r>
    <d v="2024-10-18T00:00:00"/>
    <s v="9989011143"/>
    <s v="LUCKY 13"/>
    <n v="1"/>
    <x v="8"/>
  </r>
  <r>
    <d v="2024-10-18T00:00:00"/>
    <s v="9989011143"/>
    <s v="LUCKY 13"/>
    <n v="1"/>
    <x v="14"/>
  </r>
  <r>
    <d v="2024-10-18T00:00:00"/>
    <s v="9989011144"/>
    <s v="SIDESTREET PHO"/>
    <n v="1"/>
    <x v="12"/>
  </r>
  <r>
    <d v="2024-10-18T00:00:00"/>
    <s v="9989011144"/>
    <s v="SIDESTREET PHO"/>
    <n v="1"/>
    <x v="8"/>
  </r>
  <r>
    <d v="2024-10-18T00:00:00"/>
    <s v="9989011146"/>
    <s v="BEN N' NICKS BAR AND GRILL"/>
    <n v="1"/>
    <x v="27"/>
  </r>
  <r>
    <d v="2024-10-18T00:00:00"/>
    <s v="9989011146"/>
    <s v="BEN N' NICKS BAR AND GRILL"/>
    <n v="1"/>
    <x v="26"/>
  </r>
  <r>
    <d v="2024-10-18T00:00:00"/>
    <s v="9989011146"/>
    <s v="BEN N' NICKS BAR AND GRILL"/>
    <n v="1"/>
    <x v="9"/>
  </r>
  <r>
    <d v="2024-10-18T00:00:00"/>
    <s v="9989011147"/>
    <s v="ARTHUR MAC'S LITTLE SNACK"/>
    <n v="1"/>
    <x v="8"/>
  </r>
  <r>
    <d v="2024-10-18T00:00:00"/>
    <s v="9989011147"/>
    <s v="ARTHUR MAC'S LITTLE SNACK"/>
    <n v="2"/>
    <x v="15"/>
  </r>
  <r>
    <d v="2024-10-18T00:00:00"/>
    <s v="9989011147"/>
    <s v="ARTHUR MAC'S LITTLE SNACK"/>
    <n v="2"/>
    <x v="24"/>
  </r>
  <r>
    <d v="2024-10-18T00:00:00"/>
    <s v="9989011147"/>
    <s v="ARTHUR MAC'S LITTLE SNACK"/>
    <n v="1"/>
    <x v="12"/>
  </r>
  <r>
    <d v="2024-10-18T00:00:00"/>
    <s v="9989011147"/>
    <s v="ARTHUR MAC'S LITTLE SNACK"/>
    <n v="1"/>
    <x v="5"/>
  </r>
  <r>
    <d v="2024-10-18T00:00:00"/>
    <s v="9989011148"/>
    <s v="THE RUBY ROOM"/>
    <n v="1"/>
    <x v="18"/>
  </r>
  <r>
    <d v="2024-10-18T00:00:00"/>
    <s v="9989011149"/>
    <s v="TOP DOG #3 LAK"/>
    <n v="2"/>
    <x v="13"/>
  </r>
  <r>
    <d v="2024-10-18T00:00:00"/>
    <s v="9989011149"/>
    <s v="TOP DOG #3 LAK"/>
    <n v="4"/>
    <x v="5"/>
  </r>
  <r>
    <d v="2024-10-18T00:00:00"/>
    <s v="9989011149"/>
    <s v="TOP DOG #3 LAK"/>
    <n v="2"/>
    <x v="7"/>
  </r>
  <r>
    <d v="2024-10-18T00:00:00"/>
    <s v="9989011150"/>
    <s v="CALI'S SPORTS BAR"/>
    <n v="1"/>
    <x v="12"/>
  </r>
  <r>
    <d v="2024-10-18T00:00:00"/>
    <s v="9989011150"/>
    <s v="CALI'S SPORTS BAR"/>
    <n v="1"/>
    <x v="15"/>
  </r>
  <r>
    <d v="2024-10-18T00:00:00"/>
    <s v="9989011150"/>
    <s v="CALI'S SPORTS BAR"/>
    <n v="2"/>
    <x v="8"/>
  </r>
  <r>
    <d v="2024-10-18T00:00:00"/>
    <s v="9989011151"/>
    <s v="ENCINAL MARKET"/>
    <n v="1"/>
    <x v="0"/>
  </r>
  <r>
    <d v="2024-10-18T00:00:00"/>
    <s v="9989011151"/>
    <s v="ENCINAL MARKET"/>
    <n v="1"/>
    <x v="2"/>
  </r>
  <r>
    <d v="2024-10-18T00:00:00"/>
    <s v="9989011151"/>
    <s v="ENCINAL MARKET"/>
    <n v="1"/>
    <x v="20"/>
  </r>
  <r>
    <d v="2024-10-18T00:00:00"/>
    <s v="9989011154"/>
    <s v="SCOLARIS ON PARK ST"/>
    <n v="8"/>
    <x v="1"/>
  </r>
  <r>
    <d v="2024-10-18T00:00:00"/>
    <s v="9989011154"/>
    <s v="SCOLARIS ON PARK ST"/>
    <n v="4"/>
    <x v="11"/>
  </r>
  <r>
    <d v="2024-10-18T00:00:00"/>
    <s v="9989011154"/>
    <s v="SCOLARIS ON PARK ST"/>
    <n v="5"/>
    <x v="4"/>
  </r>
  <r>
    <d v="2024-10-18T00:00:00"/>
    <s v="9989011154"/>
    <s v="SCOLARIS ON PARK ST"/>
    <n v="5"/>
    <x v="2"/>
  </r>
  <r>
    <d v="2024-10-18T00:00:00"/>
    <s v="9989011154"/>
    <s v="SCOLARIS ON PARK ST"/>
    <n v="3"/>
    <x v="3"/>
  </r>
  <r>
    <d v="2024-10-18T00:00:00"/>
    <s v="9989011154"/>
    <s v="SCOLARIS ON PARK ST"/>
    <n v="4"/>
    <x v="0"/>
  </r>
  <r>
    <d v="2024-10-18T00:00:00"/>
    <s v="9989011154"/>
    <s v="SCOLARIS ON PARK ST"/>
    <n v="1"/>
    <x v="20"/>
  </r>
  <r>
    <d v="2024-10-18T00:00:00"/>
    <s v="9989011154"/>
    <s v="SCOLARIS ON PARK ST"/>
    <n v="2"/>
    <x v="11"/>
  </r>
  <r>
    <d v="2024-10-21T00:00:00"/>
    <s v="9989011160"/>
    <s v="THE MELT (FOLSOM)"/>
    <n v="3"/>
    <x v="5"/>
  </r>
  <r>
    <d v="2024-10-21T00:00:00"/>
    <s v="9989011160"/>
    <s v="THE MELT (FOLSOM)"/>
    <n v="2"/>
    <x v="8"/>
  </r>
  <r>
    <d v="2024-10-21T00:00:00"/>
    <s v="9989011160"/>
    <s v="THE MELT (FOLSOM)"/>
    <n v="1"/>
    <x v="15"/>
  </r>
  <r>
    <d v="2024-10-21T00:00:00"/>
    <s v="9989011160"/>
    <s v="THE MELT (FOLSOM)"/>
    <n v="1"/>
    <x v="12"/>
  </r>
  <r>
    <d v="2024-10-21T00:00:00"/>
    <s v="9989011160"/>
    <s v="THE MELT (FOLSOM)"/>
    <n v="1"/>
    <x v="16"/>
  </r>
  <r>
    <d v="2024-10-21T00:00:00"/>
    <s v="9989011162"/>
    <s v="THE MELT (SACRAMENTO-BLVD)"/>
    <n v="2"/>
    <x v="5"/>
  </r>
  <r>
    <d v="2024-10-21T00:00:00"/>
    <s v="9989011162"/>
    <s v="THE MELT (SACRAMENTO-BLVD)"/>
    <n v="2"/>
    <x v="16"/>
  </r>
  <r>
    <d v="2024-10-21T00:00:00"/>
    <s v="9989011162"/>
    <s v="THE MELT (SACRAMENTO-BLVD)"/>
    <n v="2"/>
    <x v="12"/>
  </r>
  <r>
    <d v="2024-10-21T00:00:00"/>
    <s v="9989011162"/>
    <s v="THE MELT (SACRAMENTO-BLVD)"/>
    <n v="2"/>
    <x v="9"/>
  </r>
  <r>
    <d v="2024-10-21T00:00:00"/>
    <s v="9989011162"/>
    <s v="THE MELT (SACRAMENTO-BLVD)"/>
    <n v="3"/>
    <x v="8"/>
  </r>
  <r>
    <d v="2024-10-21T00:00:00"/>
    <s v="9989011162"/>
    <s v="THE MELT (SACRAMENTO-BLVD)"/>
    <n v="3"/>
    <x v="15"/>
  </r>
  <r>
    <d v="2024-10-21T00:00:00"/>
    <s v="9989011162"/>
    <s v="THE MELT (SACRAMENTO-BLVD)"/>
    <n v="2"/>
    <x v="10"/>
  </r>
  <r>
    <d v="2024-10-22T00:00:00"/>
    <s v="9989011166"/>
    <s v="PIXAR ANIMATION STUDIOS"/>
    <n v="1"/>
    <x v="10"/>
  </r>
  <r>
    <d v="2024-10-22T00:00:00"/>
    <s v="9989011166"/>
    <s v="PIXAR ANIMATION STUDIOS"/>
    <n v="1"/>
    <x v="9"/>
  </r>
  <r>
    <d v="2024-10-22T00:00:00"/>
    <s v="9989011166"/>
    <s v="PIXAR ANIMATION STUDIOS"/>
    <n v="2"/>
    <x v="7"/>
  </r>
  <r>
    <d v="2024-10-22T00:00:00"/>
    <s v="9989011167"/>
    <s v="CAFE SOLIEL"/>
    <n v="2"/>
    <x v="27"/>
  </r>
  <r>
    <d v="2024-10-22T00:00:00"/>
    <s v="9989011167"/>
    <s v="CAFE SOLIEL"/>
    <n v="2"/>
    <x v="7"/>
  </r>
  <r>
    <d v="2024-10-22T00:00:00"/>
    <s v="9989011167"/>
    <s v="CAFE SOLIEL"/>
    <n v="1"/>
    <x v="5"/>
  </r>
  <r>
    <d v="2024-10-22T00:00:00"/>
    <s v="9989011168"/>
    <s v="THE DEAD FISH"/>
    <n v="1"/>
    <x v="27"/>
  </r>
  <r>
    <d v="2024-10-22T00:00:00"/>
    <s v="9989011168"/>
    <s v="THE DEAD FISH"/>
    <n v="2"/>
    <x v="24"/>
  </r>
  <r>
    <d v="2024-10-22T00:00:00"/>
    <s v="9989011168"/>
    <s v="THE DEAD FISH"/>
    <n v="2"/>
    <x v="7"/>
  </r>
  <r>
    <d v="2024-10-22T00:00:00"/>
    <s v="9989011169"/>
    <s v="THE MELT (455 MARKET)"/>
    <n v="4"/>
    <x v="8"/>
  </r>
  <r>
    <d v="2024-10-22T00:00:00"/>
    <s v="9989011169"/>
    <s v="THE MELT (455 MARKET)"/>
    <n v="2"/>
    <x v="5"/>
  </r>
  <r>
    <d v="2024-10-22T00:00:00"/>
    <s v="9989011169"/>
    <s v="THE MELT (455 MARKET)"/>
    <n v="1"/>
    <x v="9"/>
  </r>
  <r>
    <d v="2024-10-22T00:00:00"/>
    <s v="9989011169"/>
    <s v="THE MELT (455 MARKET)"/>
    <n v="2"/>
    <x v="12"/>
  </r>
  <r>
    <d v="2024-10-22T00:00:00"/>
    <s v="9989011169"/>
    <s v="THE MELT (455 MARKET)"/>
    <n v="2"/>
    <x v="15"/>
  </r>
  <r>
    <d v="2024-10-22T00:00:00"/>
    <s v="9989011169"/>
    <s v="THE MELT (455 MARKET)"/>
    <n v="2"/>
    <x v="10"/>
  </r>
  <r>
    <d v="2024-10-22T00:00:00"/>
    <s v="9989011170"/>
    <s v="PIE PUNKS"/>
    <n v="2"/>
    <x v="26"/>
  </r>
  <r>
    <d v="2024-10-22T00:00:00"/>
    <s v="9989011170"/>
    <s v="PIE PUNKS"/>
    <n v="1"/>
    <x v="5"/>
  </r>
  <r>
    <d v="2024-10-22T00:00:00"/>
    <s v="9989011171"/>
    <s v="EAGLES LODGE #3028"/>
    <n v="1"/>
    <x v="8"/>
  </r>
  <r>
    <d v="2024-10-22T00:00:00"/>
    <s v="9989011172"/>
    <s v="THE FACTORY BAR"/>
    <n v="1"/>
    <x v="14"/>
  </r>
  <r>
    <d v="2024-10-22T00:00:00"/>
    <s v="9989011174"/>
    <s v="LARAS FINE DINING"/>
    <n v="2"/>
    <x v="8"/>
  </r>
  <r>
    <d v="2024-10-22T00:00:00"/>
    <s v="9989011174"/>
    <s v="LARAS FINE DINING"/>
    <n v="2"/>
    <x v="7"/>
  </r>
  <r>
    <d v="2024-10-22T00:00:00"/>
    <s v="9989011174"/>
    <s v="LARAS FINE DINING"/>
    <n v="2"/>
    <x v="15"/>
  </r>
  <r>
    <d v="2024-10-22T00:00:00"/>
    <s v="9989011174"/>
    <s v="LARAS FINE DINING"/>
    <n v="1"/>
    <x v="14"/>
  </r>
  <r>
    <d v="2024-10-22T00:00:00"/>
    <s v="9989011175"/>
    <s v="HOTSY TOTSY CLUB"/>
    <n v="1"/>
    <x v="8"/>
  </r>
  <r>
    <d v="2024-10-22T00:00:00"/>
    <s v="9989011175"/>
    <s v="HOTSY TOTSY CLUB"/>
    <n v="1"/>
    <x v="12"/>
  </r>
  <r>
    <d v="2024-10-22T00:00:00"/>
    <s v="9989011175"/>
    <s v="HOTSY TOTSY CLUB"/>
    <n v="1"/>
    <x v="19"/>
  </r>
  <r>
    <d v="2024-10-22T00:00:00"/>
    <s v="9989011176"/>
    <s v="CLUB MALIBU"/>
    <n v="1"/>
    <x v="14"/>
  </r>
  <r>
    <d v="2024-10-22T00:00:00"/>
    <s v="9989011176"/>
    <s v="CLUB MALIBU"/>
    <n v="1"/>
    <x v="28"/>
  </r>
  <r>
    <d v="2024-10-22T00:00:00"/>
    <s v="9989011176"/>
    <s v="CLUB MALIBU"/>
    <n v="1"/>
    <x v="21"/>
  </r>
  <r>
    <d v="2024-10-22T00:00:00"/>
    <s v="9989011177"/>
    <s v="THE MELT (IRVINE SPECTRUM)"/>
    <n v="1"/>
    <x v="16"/>
  </r>
  <r>
    <d v="2024-10-22T00:00:00"/>
    <s v="9989011177"/>
    <s v="THE MELT (IRVINE SPECTRUM)"/>
    <n v="3"/>
    <x v="8"/>
  </r>
  <r>
    <d v="2024-10-22T00:00:00"/>
    <s v="9989011177"/>
    <s v="THE MELT (IRVINE SPECTRUM)"/>
    <n v="1"/>
    <x v="15"/>
  </r>
  <r>
    <d v="2024-10-22T00:00:00"/>
    <s v="9989011177"/>
    <s v="THE MELT (IRVINE SPECTRUM)"/>
    <n v="1"/>
    <x v="10"/>
  </r>
  <r>
    <d v="2024-10-22T00:00:00"/>
    <s v="9989011177"/>
    <s v="THE MELT (IRVINE SPECTRUM)"/>
    <n v="1"/>
    <x v="12"/>
  </r>
  <r>
    <d v="2024-10-22T00:00:00"/>
    <s v="9989011177"/>
    <s v="THE MELT (IRVINE SPECTRUM)"/>
    <n v="2"/>
    <x v="5"/>
  </r>
  <r>
    <d v="2024-10-22T00:00:00"/>
    <s v="9989011178"/>
    <s v="CLUB MALLARD"/>
    <n v="1"/>
    <x v="8"/>
  </r>
  <r>
    <d v="2024-10-22T00:00:00"/>
    <s v="9989011179"/>
    <s v="STARBIRD CHICKEN - FOSTER CITY"/>
    <n v="3"/>
    <x v="8"/>
  </r>
  <r>
    <d v="2024-10-22T00:00:00"/>
    <s v="9989011179"/>
    <s v="STARBIRD CHICKEN - FOSTER CITY"/>
    <n v="3"/>
    <x v="15"/>
  </r>
  <r>
    <d v="2024-10-22T00:00:00"/>
    <s v="9989011179"/>
    <s v="STARBIRD CHICKEN - FOSTER CITY"/>
    <n v="2"/>
    <x v="12"/>
  </r>
  <r>
    <d v="2024-10-22T00:00:00"/>
    <s v="9989011179"/>
    <s v="STARBIRD CHICKEN - FOSTER CITY"/>
    <n v="2"/>
    <x v="10"/>
  </r>
  <r>
    <d v="2024-10-22T00:00:00"/>
    <s v="9989011179"/>
    <s v="STARBIRD CHICKEN - FOSTER CITY"/>
    <n v="2"/>
    <x v="5"/>
  </r>
  <r>
    <d v="2024-10-22T00:00:00"/>
    <s v="9989011179"/>
    <s v="STARBIRD CHICKEN - FOSTER CITY"/>
    <n v="1"/>
    <x v="17"/>
  </r>
  <r>
    <d v="2024-10-22T00:00:00"/>
    <s v="9989011179"/>
    <s v="STARBIRD CHICKEN - FOSTER CITY"/>
    <n v="2"/>
    <x v="23"/>
  </r>
  <r>
    <d v="2024-10-22T00:00:00"/>
    <s v="9989011179"/>
    <s v="STARBIRD CHICKEN - FOSTER CITY"/>
    <n v="1"/>
    <x v="11"/>
  </r>
  <r>
    <d v="2024-10-22T00:00:00"/>
    <s v="9989011179"/>
    <s v="STARBIRD CHICKEN - FOSTER CITY"/>
    <n v="1"/>
    <x v="1"/>
  </r>
  <r>
    <d v="2024-10-22T00:00:00"/>
    <s v="9989011179"/>
    <s v="STARBIRD CHICKEN - FOSTER CITY"/>
    <n v="2"/>
    <x v="4"/>
  </r>
  <r>
    <d v="2024-10-22T00:00:00"/>
    <s v="9989011179"/>
    <s v="STARBIRD CHICKEN - FOSTER CITY"/>
    <n v="1"/>
    <x v="3"/>
  </r>
  <r>
    <d v="2024-10-22T00:00:00"/>
    <s v="9989011180"/>
    <s v="TRIPLE ROCK BREWING COMPANY"/>
    <n v="1"/>
    <x v="8"/>
  </r>
  <r>
    <d v="2024-10-22T00:00:00"/>
    <s v="9989011180"/>
    <s v="TRIPLE ROCK BREWING COMPANY"/>
    <n v="1"/>
    <x v="5"/>
  </r>
  <r>
    <d v="2024-10-22T00:00:00"/>
    <s v="9989011180"/>
    <s v="TRIPLE ROCK BREWING COMPANY"/>
    <n v="1"/>
    <x v="24"/>
  </r>
  <r>
    <d v="2024-10-22T00:00:00"/>
    <s v="9989011180"/>
    <s v="TRIPLE ROCK BREWING COMPANY"/>
    <n v="1"/>
    <x v="10"/>
  </r>
  <r>
    <d v="2024-10-22T00:00:00"/>
    <s v="9989011181"/>
    <s v="JUPITER"/>
    <n v="1"/>
    <x v="27"/>
  </r>
  <r>
    <d v="2024-10-22T00:00:00"/>
    <s v="9989011181"/>
    <s v="JUPITER"/>
    <n v="1"/>
    <x v="26"/>
  </r>
  <r>
    <d v="2024-10-22T00:00:00"/>
    <s v="9989011181"/>
    <s v="JUPITER"/>
    <n v="2"/>
    <x v="13"/>
  </r>
  <r>
    <d v="2024-10-22T00:00:00"/>
    <s v="9989011181"/>
    <s v="JUPITER"/>
    <n v="1"/>
    <x v="5"/>
  </r>
  <r>
    <d v="2024-10-22T00:00:00"/>
    <s v="9989011182"/>
    <s v="GATHER"/>
    <n v="2"/>
    <x v="11"/>
  </r>
  <r>
    <d v="2024-10-22T00:00:00"/>
    <s v="9989011182"/>
    <s v="GATHER"/>
    <n v="3"/>
    <x v="1"/>
  </r>
  <r>
    <d v="2024-10-22T00:00:00"/>
    <s v="9989011183"/>
    <s v="COLOMBO CLUB INC"/>
    <n v="1"/>
    <x v="18"/>
  </r>
  <r>
    <d v="2024-10-22T00:00:00"/>
    <s v="9989011183"/>
    <s v="COLOMBO CLUB INC"/>
    <n v="1"/>
    <x v="14"/>
  </r>
  <r>
    <d v="2024-10-22T00:00:00"/>
    <s v="9989011183"/>
    <s v="COLOMBO CLUB INC"/>
    <n v="1"/>
    <x v="8"/>
  </r>
  <r>
    <d v="2024-10-22T00:00:00"/>
    <s v="9989011183"/>
    <s v="COLOMBO CLUB INC"/>
    <n v="2"/>
    <x v="12"/>
  </r>
  <r>
    <d v="2024-10-22T00:00:00"/>
    <s v="9989011184"/>
    <s v="THE LAUNDROMAT"/>
    <n v="2"/>
    <x v="5"/>
  </r>
  <r>
    <d v="2024-10-22T00:00:00"/>
    <s v="9989011184"/>
    <s v="THE LAUNDROMAT"/>
    <n v="1"/>
    <x v="15"/>
  </r>
  <r>
    <d v="2024-10-22T00:00:00"/>
    <s v="9989011184"/>
    <s v="THE LAUNDROMAT"/>
    <n v="1"/>
    <x v="4"/>
  </r>
  <r>
    <d v="2024-10-22T00:00:00"/>
    <s v="9989011185"/>
    <s v="STARBIRD - TASTES ON THE FLY SF"/>
    <n v="3"/>
    <x v="8"/>
  </r>
  <r>
    <d v="2024-10-22T00:00:00"/>
    <s v="9989011185"/>
    <s v="STARBIRD - TASTES ON THE FLY SF"/>
    <n v="2"/>
    <x v="15"/>
  </r>
  <r>
    <d v="2024-10-22T00:00:00"/>
    <s v="9989011185"/>
    <s v="STARBIRD - TASTES ON THE FLY SF"/>
    <n v="2"/>
    <x v="5"/>
  </r>
  <r>
    <d v="2024-10-22T00:00:00"/>
    <s v="9989011185"/>
    <s v="STARBIRD - TASTES ON THE FLY SF"/>
    <n v="1"/>
    <x v="9"/>
  </r>
  <r>
    <d v="2024-10-22T00:00:00"/>
    <s v="9989011185"/>
    <s v="STARBIRD - TASTES ON THE FLY SF"/>
    <n v="1"/>
    <x v="12"/>
  </r>
  <r>
    <d v="2024-10-22T00:00:00"/>
    <s v="9989011185"/>
    <s v="STARBIRD - TASTES ON THE FLY SF"/>
    <n v="2"/>
    <x v="10"/>
  </r>
  <r>
    <d v="2024-10-23T00:00:00"/>
    <s v="9989011187"/>
    <s v="HELLO STRANGER"/>
    <n v="3"/>
    <x v="28"/>
  </r>
  <r>
    <d v="2024-10-23T00:00:00"/>
    <s v="9989011187"/>
    <s v="HELLO STRANGER"/>
    <n v="1"/>
    <x v="14"/>
  </r>
  <r>
    <d v="2024-10-23T00:00:00"/>
    <s v="9989011187"/>
    <s v="HELLO STRANGER"/>
    <n v="1"/>
    <x v="10"/>
  </r>
  <r>
    <d v="2024-10-23T00:00:00"/>
    <s v="9989011188"/>
    <s v="CAFE JOLIE"/>
    <n v="1"/>
    <x v="12"/>
  </r>
  <r>
    <d v="2024-10-23T00:00:00"/>
    <s v="9989011189"/>
    <s v="CANYON CLUB BREWERY"/>
    <n v="2"/>
    <x v="7"/>
  </r>
  <r>
    <d v="2024-10-23T00:00:00"/>
    <s v="9989011189"/>
    <s v="CANYON CLUB BREWERY"/>
    <n v="1"/>
    <x v="8"/>
  </r>
  <r>
    <d v="2024-10-23T00:00:00"/>
    <s v="9989011191"/>
    <s v="STARBIRD CHICKEN - WALNUT CREEK"/>
    <n v="3"/>
    <x v="8"/>
  </r>
  <r>
    <d v="2024-10-23T00:00:00"/>
    <s v="9989011191"/>
    <s v="STARBIRD CHICKEN - WALNUT CREEK"/>
    <n v="2"/>
    <x v="15"/>
  </r>
  <r>
    <d v="2024-10-23T00:00:00"/>
    <s v="9989011191"/>
    <s v="STARBIRD CHICKEN - WALNUT CREEK"/>
    <n v="1"/>
    <x v="12"/>
  </r>
  <r>
    <d v="2024-10-23T00:00:00"/>
    <s v="9989011191"/>
    <s v="STARBIRD CHICKEN - WALNUT CREEK"/>
    <n v="1"/>
    <x v="10"/>
  </r>
  <r>
    <d v="2024-10-23T00:00:00"/>
    <s v="9989011191"/>
    <s v="STARBIRD CHICKEN - WALNUT CREEK"/>
    <n v="2"/>
    <x v="5"/>
  </r>
  <r>
    <d v="2024-10-23T00:00:00"/>
    <s v="9989011191"/>
    <s v="STARBIRD CHICKEN - WALNUT CREEK"/>
    <n v="1"/>
    <x v="17"/>
  </r>
  <r>
    <d v="2024-10-23T00:00:00"/>
    <s v="9989011191"/>
    <s v="STARBIRD CHICKEN - WALNUT CREEK"/>
    <n v="1"/>
    <x v="23"/>
  </r>
  <r>
    <d v="2024-10-23T00:00:00"/>
    <s v="9989011191"/>
    <s v="STARBIRD CHICKEN - WALNUT CREEK"/>
    <n v="1"/>
    <x v="11"/>
  </r>
  <r>
    <d v="2024-10-23T00:00:00"/>
    <s v="9989011191"/>
    <s v="STARBIRD CHICKEN - WALNUT CREEK"/>
    <n v="1"/>
    <x v="1"/>
  </r>
  <r>
    <d v="2024-10-23T00:00:00"/>
    <s v="9989011191"/>
    <s v="STARBIRD CHICKEN - WALNUT CREEK"/>
    <n v="2"/>
    <x v="4"/>
  </r>
  <r>
    <d v="2024-10-23T00:00:00"/>
    <s v="9989011191"/>
    <s v="STARBIRD CHICKEN - WALNUT CREEK"/>
    <n v="1"/>
    <x v="3"/>
  </r>
  <r>
    <d v="2024-10-23T00:00:00"/>
    <s v="9989011192"/>
    <s v="FIDDLERS GREEN"/>
    <n v="1"/>
    <x v="8"/>
  </r>
  <r>
    <d v="2024-10-23T00:00:00"/>
    <s v="9989011192"/>
    <s v="FIDDLERS GREEN"/>
    <n v="1"/>
    <x v="15"/>
  </r>
  <r>
    <d v="2024-10-23T00:00:00"/>
    <s v="9989011192"/>
    <s v="FIDDLERS GREEN"/>
    <n v="2"/>
    <x v="24"/>
  </r>
  <r>
    <d v="2024-10-23T00:00:00"/>
    <s v="9989011194"/>
    <s v="OLD PRINCETON LANDING"/>
    <n v="1"/>
    <x v="13"/>
  </r>
  <r>
    <d v="2024-10-23T00:00:00"/>
    <s v="9989011194"/>
    <s v="OLD PRINCETON LANDING"/>
    <n v="2"/>
    <x v="9"/>
  </r>
  <r>
    <d v="2024-10-23T00:00:00"/>
    <s v="9989011195"/>
    <s v="LUNA LOCA (JAINS FOODS)"/>
    <n v="1"/>
    <x v="8"/>
  </r>
  <r>
    <d v="2024-10-23T00:00:00"/>
    <s v="9989011195"/>
    <s v="LUNA LOCA (JAINS FOODS)"/>
    <n v="1"/>
    <x v="15"/>
  </r>
  <r>
    <d v="2024-10-23T00:00:00"/>
    <s v="9989011195"/>
    <s v="LUNA LOCA (JAINS FOODS)"/>
    <n v="1"/>
    <x v="7"/>
  </r>
  <r>
    <d v="2024-10-23T00:00:00"/>
    <s v="9989011196"/>
    <s v="THE MELT (STANFORD)"/>
    <n v="2"/>
    <x v="9"/>
  </r>
  <r>
    <d v="2024-10-23T00:00:00"/>
    <s v="9989011196"/>
    <s v="THE MELT (STANFORD)"/>
    <n v="2"/>
    <x v="8"/>
  </r>
  <r>
    <d v="2024-10-23T00:00:00"/>
    <s v="9989011196"/>
    <s v="THE MELT (STANFORD)"/>
    <n v="1"/>
    <x v="15"/>
  </r>
  <r>
    <d v="2024-10-23T00:00:00"/>
    <s v="9989011196"/>
    <s v="THE MELT (STANFORD)"/>
    <n v="1"/>
    <x v="5"/>
  </r>
  <r>
    <d v="2024-10-23T00:00:00"/>
    <s v="9989011196"/>
    <s v="THE MELT (STANFORD)"/>
    <n v="1"/>
    <x v="12"/>
  </r>
  <r>
    <d v="2024-10-23T00:00:00"/>
    <s v="9989011196"/>
    <s v="THE MELT (STANFORD)"/>
    <n v="1"/>
    <x v="10"/>
  </r>
  <r>
    <d v="2024-10-23T00:00:00"/>
    <s v="9989011197"/>
    <s v="CALI KID BURGERS AND SHAKES"/>
    <n v="1"/>
    <x v="8"/>
  </r>
  <r>
    <d v="2024-10-23T00:00:00"/>
    <s v="9989011197"/>
    <s v="CALI KID BURGERS AND SHAKES"/>
    <n v="1"/>
    <x v="9"/>
  </r>
  <r>
    <d v="2024-10-23T00:00:00"/>
    <s v="9989011197"/>
    <s v="CALI KID BURGERS AND SHAKES"/>
    <n v="1"/>
    <x v="5"/>
  </r>
  <r>
    <d v="2024-10-23T00:00:00"/>
    <s v="9989011197"/>
    <s v="CALI KID BURGERS AND SHAKES"/>
    <n v="1"/>
    <x v="17"/>
  </r>
  <r>
    <d v="2024-10-23T00:00:00"/>
    <s v="9989011198"/>
    <s v="LIVERMORE CASINO"/>
    <n v="2"/>
    <x v="24"/>
  </r>
  <r>
    <d v="2024-10-23T00:00:00"/>
    <s v="9989011198"/>
    <s v="LIVERMORE CASINO"/>
    <n v="2"/>
    <x v="13"/>
  </r>
  <r>
    <d v="2024-10-23T00:00:00"/>
    <s v="9989011199"/>
    <s v="MONTE CARLO"/>
    <n v="3"/>
    <x v="14"/>
  </r>
  <r>
    <d v="2024-10-23T00:00:00"/>
    <s v="9989011199"/>
    <s v="MONTE CARLO"/>
    <n v="3"/>
    <x v="28"/>
  </r>
  <r>
    <d v="2024-10-23T00:00:00"/>
    <s v="9989011199"/>
    <s v="MONTE CARLO"/>
    <n v="2"/>
    <x v="37"/>
  </r>
  <r>
    <d v="2024-10-23T00:00:00"/>
    <s v="9989011200"/>
    <s v="STARBIRD CHICKEN - PLEASANTON"/>
    <n v="4"/>
    <x v="8"/>
  </r>
  <r>
    <d v="2024-10-23T00:00:00"/>
    <s v="9989011200"/>
    <s v="STARBIRD CHICKEN - PLEASANTON"/>
    <n v="2"/>
    <x v="5"/>
  </r>
  <r>
    <d v="2024-10-23T00:00:00"/>
    <s v="9989011200"/>
    <s v="STARBIRD CHICKEN - PLEASANTON"/>
    <n v="1"/>
    <x v="23"/>
  </r>
  <r>
    <d v="2024-10-23T00:00:00"/>
    <s v="9989011201"/>
    <s v="THE MELT (SUNNYVALE #0043)"/>
    <n v="1"/>
    <x v="8"/>
  </r>
  <r>
    <d v="2024-10-23T00:00:00"/>
    <s v="9989011201"/>
    <s v="THE MELT (SUNNYVALE #0043)"/>
    <n v="1"/>
    <x v="10"/>
  </r>
  <r>
    <d v="2024-10-24T00:00:00"/>
    <s v="9989011202"/>
    <s v="TRABOCCO"/>
    <n v="1"/>
    <x v="15"/>
  </r>
  <r>
    <d v="2024-10-24T00:00:00"/>
    <s v="9989011202"/>
    <s v="TRABOCCO"/>
    <n v="1"/>
    <x v="8"/>
  </r>
  <r>
    <d v="2024-10-24T00:00:00"/>
    <s v="9989011203"/>
    <s v="THE MELT (925 MARKET)"/>
    <n v="5"/>
    <x v="8"/>
  </r>
  <r>
    <d v="2024-10-24T00:00:00"/>
    <s v="9989011203"/>
    <s v="THE MELT (925 MARKET)"/>
    <n v="2"/>
    <x v="15"/>
  </r>
  <r>
    <d v="2024-10-24T00:00:00"/>
    <s v="9989011203"/>
    <s v="THE MELT (925 MARKET)"/>
    <n v="2"/>
    <x v="10"/>
  </r>
  <r>
    <d v="2024-10-24T00:00:00"/>
    <s v="9989011203"/>
    <s v="THE MELT (925 MARKET)"/>
    <n v="2"/>
    <x v="12"/>
  </r>
  <r>
    <d v="2024-10-24T00:00:00"/>
    <s v="9989011203"/>
    <s v="THE MELT (925 MARKET)"/>
    <n v="3"/>
    <x v="9"/>
  </r>
  <r>
    <d v="2024-10-24T00:00:00"/>
    <s v="9989011203"/>
    <s v="THE MELT (925 MARKET)"/>
    <n v="4"/>
    <x v="5"/>
  </r>
  <r>
    <d v="2024-10-24T00:00:00"/>
    <s v="9989011204"/>
    <s v="SLICE HOUSE"/>
    <n v="1"/>
    <x v="13"/>
  </r>
  <r>
    <d v="2024-10-24T00:00:00"/>
    <s v="9989011204"/>
    <s v="SLICE HOUSE"/>
    <n v="1"/>
    <x v="12"/>
  </r>
  <r>
    <d v="2024-10-24T00:00:00"/>
    <s v="9989011206"/>
    <s v="ELKS LODGE SF #3"/>
    <n v="2"/>
    <x v="19"/>
  </r>
  <r>
    <d v="2024-10-24T00:00:00"/>
    <s v="9989011206"/>
    <s v="ELKS LODGE SF #3"/>
    <n v="1"/>
    <x v="8"/>
  </r>
  <r>
    <d v="2024-10-24T00:00:00"/>
    <s v="9989011206"/>
    <s v="ELKS LODGE SF #3"/>
    <n v="1"/>
    <x v="15"/>
  </r>
  <r>
    <d v="2024-10-24T00:00:00"/>
    <s v="9989011206"/>
    <s v="ELKS LODGE SF #3"/>
    <n v="1"/>
    <x v="18"/>
  </r>
  <r>
    <d v="2024-10-24T00:00:00"/>
    <s v="9989011207"/>
    <s v="SCOMAS RESTAURANT"/>
    <n v="1"/>
    <x v="5"/>
  </r>
  <r>
    <d v="2024-10-24T00:00:00"/>
    <s v="9989011207"/>
    <s v="SCOMAS RESTAURANT"/>
    <n v="1"/>
    <x v="8"/>
  </r>
  <r>
    <d v="2024-10-24T00:00:00"/>
    <s v="9989011207"/>
    <s v="SCOMAS RESTAURANT"/>
    <n v="1"/>
    <x v="12"/>
  </r>
  <r>
    <d v="2024-10-24T00:00:00"/>
    <s v="9989011207"/>
    <s v="SCOMAS RESTAURANT"/>
    <n v="3"/>
    <x v="7"/>
  </r>
  <r>
    <d v="2024-10-24T00:00:00"/>
    <s v="9989011208"/>
    <s v="SWISS PARK BAR &amp; GRILLE NEWARK"/>
    <n v="2"/>
    <x v="8"/>
  </r>
  <r>
    <d v="2024-10-24T00:00:00"/>
    <s v="9989011208"/>
    <s v="SWISS PARK BAR &amp; GRILLE NEWARK"/>
    <n v="2"/>
    <x v="24"/>
  </r>
  <r>
    <d v="2024-10-24T00:00:00"/>
    <s v="9989011209"/>
    <s v="STARBIRD CHICKEN - SAN JOSE"/>
    <n v="2"/>
    <x v="1"/>
  </r>
  <r>
    <d v="2024-10-24T00:00:00"/>
    <s v="9989011209"/>
    <s v="STARBIRD CHICKEN - SAN JOSE"/>
    <n v="1"/>
    <x v="11"/>
  </r>
  <r>
    <d v="2024-10-24T00:00:00"/>
    <s v="9989011209"/>
    <s v="STARBIRD CHICKEN - SAN JOSE"/>
    <n v="1"/>
    <x v="3"/>
  </r>
  <r>
    <d v="2024-10-24T00:00:00"/>
    <s v="9989011209"/>
    <s v="STARBIRD CHICKEN - SAN JOSE"/>
    <n v="1"/>
    <x v="4"/>
  </r>
  <r>
    <d v="2024-10-24T00:00:00"/>
    <s v="9989011210"/>
    <s v="UNION STREET ALE HOUSE"/>
    <n v="1"/>
    <x v="15"/>
  </r>
  <r>
    <d v="2024-10-24T00:00:00"/>
    <s v="9989011210"/>
    <s v="UNION STREET ALE HOUSE"/>
    <n v="1"/>
    <x v="12"/>
  </r>
  <r>
    <d v="2024-10-24T00:00:00"/>
    <s v="9989011211"/>
    <s v="RICK &amp; ROXY'S-DEL MAR"/>
    <n v="1"/>
    <x v="12"/>
  </r>
  <r>
    <d v="2024-10-24T00:00:00"/>
    <s v="9989011211"/>
    <s v="RICK &amp; ROXY'S-DEL MAR"/>
    <n v="1"/>
    <x v="37"/>
  </r>
  <r>
    <d v="2024-10-24T00:00:00"/>
    <s v="9989011211"/>
    <s v="RICK &amp; ROXY'S-DEL MAR"/>
    <n v="1"/>
    <x v="37"/>
  </r>
  <r>
    <d v="2024-10-24T00:00:00"/>
    <s v="9989011212"/>
    <s v="CLUB CARIBE"/>
    <n v="2"/>
    <x v="29"/>
  </r>
  <r>
    <d v="2024-10-24T00:00:00"/>
    <s v="9989011212"/>
    <s v="CLUB CARIBE"/>
    <n v="2"/>
    <x v="21"/>
  </r>
  <r>
    <d v="2024-10-24T00:00:00"/>
    <s v="9989011212"/>
    <s v="CLUB CARIBE"/>
    <n v="2"/>
    <x v="14"/>
  </r>
  <r>
    <d v="2024-10-24T00:00:00"/>
    <s v="9989011212"/>
    <s v="CLUB CARIBE"/>
    <n v="1"/>
    <x v="8"/>
  </r>
  <r>
    <d v="2024-10-24T00:00:00"/>
    <s v="9989011213"/>
    <s v="STRAITS SANTANA ROW"/>
    <n v="1"/>
    <x v="15"/>
  </r>
  <r>
    <d v="2024-10-24T00:00:00"/>
    <s v="9989011213"/>
    <s v="STRAITS SANTANA ROW"/>
    <n v="1"/>
    <x v="8"/>
  </r>
  <r>
    <d v="2024-10-24T00:00:00"/>
    <s v="9989011213"/>
    <s v="STRAITS SANTANA ROW"/>
    <n v="1"/>
    <x v="14"/>
  </r>
  <r>
    <d v="2024-10-24T00:00:00"/>
    <s v="9989011213"/>
    <s v="STRAITS SANTANA ROW"/>
    <n v="1"/>
    <x v="10"/>
  </r>
  <r>
    <d v="2024-10-24T00:00:00"/>
    <s v="9989011214"/>
    <s v="THE STUD"/>
    <n v="1"/>
    <x v="12"/>
  </r>
  <r>
    <d v="2024-10-24T00:00:00"/>
    <s v="9989011214"/>
    <s v="THE STUD"/>
    <n v="1"/>
    <x v="19"/>
  </r>
  <r>
    <d v="2024-10-24T00:00:00"/>
    <s v="9989011216"/>
    <s v="GREAT AMERICAN MUSIC HALL"/>
    <n v="1"/>
    <x v="8"/>
  </r>
  <r>
    <d v="2024-10-24T00:00:00"/>
    <s v="9989011216"/>
    <s v="GREAT AMERICAN MUSIC HALL"/>
    <n v="1"/>
    <x v="15"/>
  </r>
  <r>
    <d v="2024-10-24T00:00:00"/>
    <s v="9989011216"/>
    <s v="GREAT AMERICAN MUSIC HALL"/>
    <n v="1"/>
    <x v="10"/>
  </r>
  <r>
    <d v="2024-10-24T00:00:00"/>
    <s v="9989011217"/>
    <s v="STARBIRD CHICKEN - CAMPBELL"/>
    <n v="4"/>
    <x v="5"/>
  </r>
  <r>
    <d v="2024-10-24T00:00:00"/>
    <s v="9989011217"/>
    <s v="STARBIRD CHICKEN - CAMPBELL"/>
    <n v="3"/>
    <x v="15"/>
  </r>
  <r>
    <d v="2024-10-24T00:00:00"/>
    <s v="9989011217"/>
    <s v="STARBIRD CHICKEN - CAMPBELL"/>
    <n v="3"/>
    <x v="8"/>
  </r>
  <r>
    <d v="2024-10-24T00:00:00"/>
    <s v="9989011217"/>
    <s v="STARBIRD CHICKEN - CAMPBELL"/>
    <n v="3"/>
    <x v="12"/>
  </r>
  <r>
    <d v="2024-10-24T00:00:00"/>
    <s v="9989011217"/>
    <s v="STARBIRD CHICKEN - CAMPBELL"/>
    <n v="2"/>
    <x v="17"/>
  </r>
  <r>
    <d v="2024-10-24T00:00:00"/>
    <s v="9989011217"/>
    <s v="STARBIRD CHICKEN - CAMPBELL"/>
    <n v="2"/>
    <x v="23"/>
  </r>
  <r>
    <d v="2024-10-24T00:00:00"/>
    <s v="9989011217"/>
    <s v="STARBIRD CHICKEN - CAMPBELL"/>
    <n v="4"/>
    <x v="10"/>
  </r>
  <r>
    <d v="2024-10-24T00:00:00"/>
    <s v="9989011217"/>
    <s v="STARBIRD CHICKEN - CAMPBELL"/>
    <n v="3"/>
    <x v="1"/>
  </r>
  <r>
    <d v="2024-10-24T00:00:00"/>
    <s v="9989011217"/>
    <s v="STARBIRD CHICKEN - CAMPBELL"/>
    <n v="2"/>
    <x v="3"/>
  </r>
  <r>
    <d v="2024-10-24T00:00:00"/>
    <s v="9989011217"/>
    <s v="STARBIRD CHICKEN - CAMPBELL"/>
    <n v="2"/>
    <x v="11"/>
  </r>
  <r>
    <d v="2024-10-24T00:00:00"/>
    <s v="9989011218"/>
    <s v="STARBIRD CHICKEN - HERMOSA BEACH"/>
    <n v="1"/>
    <x v="8"/>
  </r>
  <r>
    <d v="2024-10-24T00:00:00"/>
    <s v="9989011219"/>
    <s v="MONROE"/>
    <n v="1"/>
    <x v="22"/>
  </r>
  <r>
    <d v="2024-10-24T00:00:00"/>
    <s v="9989011219"/>
    <s v="MONROE"/>
    <n v="1"/>
    <x v="28"/>
  </r>
  <r>
    <d v="2024-10-24T00:00:00"/>
    <s v="9989011219"/>
    <s v="MONROE"/>
    <n v="1"/>
    <x v="14"/>
  </r>
  <r>
    <d v="2024-10-24T00:00:00"/>
    <s v="9989011219"/>
    <s v="MONROE"/>
    <n v="1"/>
    <x v="21"/>
  </r>
  <r>
    <d v="2024-10-24T00:00:00"/>
    <s v="9989011219"/>
    <s v="MONROE"/>
    <n v="1"/>
    <x v="12"/>
  </r>
  <r>
    <d v="2024-10-24T00:00:00"/>
    <s v="9989011221"/>
    <s v="SPORTS PAGE"/>
    <n v="1"/>
    <x v="8"/>
  </r>
  <r>
    <d v="2024-10-24T00:00:00"/>
    <s v="9989011221"/>
    <s v="SPORTS PAGE"/>
    <n v="1"/>
    <x v="19"/>
  </r>
  <r>
    <d v="2024-10-24T00:00:00"/>
    <s v="9989011221"/>
    <s v="SPORTS PAGE"/>
    <n v="2"/>
    <x v="14"/>
  </r>
  <r>
    <d v="2024-10-24T00:00:00"/>
    <s v="9989011222"/>
    <s v="THE SEA STAR"/>
    <n v="1"/>
    <x v="26"/>
  </r>
  <r>
    <d v="2024-10-24T00:00:00"/>
    <s v="9989011222"/>
    <s v="THE SEA STAR"/>
    <n v="1"/>
    <x v="13"/>
  </r>
  <r>
    <d v="2024-10-24T00:00:00"/>
    <s v="9989011223"/>
    <s v="THE MELT (LA JOLLA)"/>
    <n v="2"/>
    <x v="16"/>
  </r>
  <r>
    <d v="2024-10-24T00:00:00"/>
    <s v="9989011223"/>
    <s v="THE MELT (LA JOLLA)"/>
    <n v="3"/>
    <x v="8"/>
  </r>
  <r>
    <d v="2024-10-24T00:00:00"/>
    <s v="9989011223"/>
    <s v="THE MELT (LA JOLLA)"/>
    <n v="1"/>
    <x v="15"/>
  </r>
  <r>
    <d v="2024-10-24T00:00:00"/>
    <s v="9989011223"/>
    <s v="THE MELT (LA JOLLA)"/>
    <n v="1"/>
    <x v="10"/>
  </r>
  <r>
    <d v="2024-10-24T00:00:00"/>
    <s v="9989011223"/>
    <s v="THE MELT (LA JOLLA)"/>
    <n v="1"/>
    <x v="12"/>
  </r>
  <r>
    <d v="2024-10-24T00:00:00"/>
    <s v="9989011223"/>
    <s v="THE MELT (LA JOLLA)"/>
    <n v="1"/>
    <x v="9"/>
  </r>
  <r>
    <d v="2024-10-24T00:00:00"/>
    <s v="9989011223"/>
    <s v="THE MELT (LA JOLLA)"/>
    <n v="3"/>
    <x v="5"/>
  </r>
  <r>
    <d v="2024-10-24T00:00:00"/>
    <s v="9989011224"/>
    <s v="THE MELT (GAS LAMP SAN DIEGO)"/>
    <n v="2"/>
    <x v="16"/>
  </r>
  <r>
    <d v="2024-10-24T00:00:00"/>
    <s v="9989011224"/>
    <s v="THE MELT (GAS LAMP SAN DIEGO)"/>
    <n v="2"/>
    <x v="8"/>
  </r>
  <r>
    <d v="2024-10-24T00:00:00"/>
    <s v="9989011224"/>
    <s v="THE MELT (GAS LAMP SAN DIEGO)"/>
    <n v="1"/>
    <x v="15"/>
  </r>
  <r>
    <d v="2024-10-24T00:00:00"/>
    <s v="9989011224"/>
    <s v="THE MELT (GAS LAMP SAN DIEGO)"/>
    <n v="2"/>
    <x v="9"/>
  </r>
  <r>
    <d v="2024-10-24T00:00:00"/>
    <s v="9989011224"/>
    <s v="THE MELT (GAS LAMP SAN DIEGO)"/>
    <n v="2"/>
    <x v="5"/>
  </r>
  <r>
    <d v="2024-10-24T00:00:00"/>
    <s v="9989011225"/>
    <s v="THE MELT (DEL MAR)"/>
    <n v="1"/>
    <x v="8"/>
  </r>
  <r>
    <d v="2024-10-24T00:00:00"/>
    <s v="9989011225"/>
    <s v="THE MELT (DEL MAR)"/>
    <n v="1"/>
    <x v="5"/>
  </r>
  <r>
    <d v="2024-10-24T00:00:00"/>
    <s v="9989011225"/>
    <s v="THE MELT (DEL MAR)"/>
    <n v="2"/>
    <x v="10"/>
  </r>
  <r>
    <d v="2024-10-24T00:00:00"/>
    <s v="9989011225"/>
    <s v="THE MELT (DEL MAR)"/>
    <n v="2"/>
    <x v="15"/>
  </r>
  <r>
    <d v="2024-10-24T00:00:00"/>
    <s v="9989011225"/>
    <s v="THE MELT (DEL MAR)"/>
    <n v="2"/>
    <x v="9"/>
  </r>
  <r>
    <d v="2024-10-25T00:00:00"/>
    <s v="9989011227"/>
    <s v="ENCINAL MARKET"/>
    <n v="1"/>
    <x v="4"/>
  </r>
  <r>
    <d v="2024-10-25T00:00:00"/>
    <s v="9989011227"/>
    <s v="ENCINAL MARKET"/>
    <n v="1"/>
    <x v="1"/>
  </r>
  <r>
    <d v="2024-10-25T00:00:00"/>
    <s v="9989011227"/>
    <s v="ENCINAL MARKET"/>
    <n v="1"/>
    <x v="11"/>
  </r>
  <r>
    <d v="2024-10-25T00:00:00"/>
    <s v="9989011227"/>
    <s v="ENCINAL MARKET"/>
    <n v="1"/>
    <x v="3"/>
  </r>
  <r>
    <d v="2024-10-25T00:00:00"/>
    <s v="9989011229"/>
    <s v="THE PHOENIX ALAMEDA"/>
    <n v="1"/>
    <x v="11"/>
  </r>
  <r>
    <d v="2024-10-25T00:00:00"/>
    <s v="9989011229"/>
    <s v="THE PHOENIX ALAMEDA"/>
    <n v="1"/>
    <x v="1"/>
  </r>
  <r>
    <d v="2024-10-25T00:00:00"/>
    <s v="9989011229"/>
    <s v="THE PHOENIX ALAMEDA"/>
    <n v="1"/>
    <x v="4"/>
  </r>
  <r>
    <d v="2024-10-25T00:00:00"/>
    <s v="9989011229"/>
    <s v="THE PHOENIX ALAMEDA"/>
    <n v="1"/>
    <x v="3"/>
  </r>
  <r>
    <d v="2024-10-25T00:00:00"/>
    <s v="9989011229"/>
    <s v="THE PHOENIX ALAMEDA"/>
    <n v="1"/>
    <x v="0"/>
  </r>
  <r>
    <d v="2024-10-25T00:00:00"/>
    <s v="9989011231"/>
    <s v="CRAFT ROOTS"/>
    <n v="2"/>
    <x v="8"/>
  </r>
  <r>
    <d v="2024-10-25T00:00:00"/>
    <s v="9989011231"/>
    <s v="CRAFT ROOTS"/>
    <n v="2"/>
    <x v="12"/>
  </r>
  <r>
    <d v="2024-10-25T00:00:00"/>
    <s v="9989011231"/>
    <s v="CRAFT ROOTS"/>
    <n v="2"/>
    <x v="10"/>
  </r>
  <r>
    <d v="2024-10-25T00:00:00"/>
    <s v="9989011231"/>
    <s v="CRAFT ROOTS"/>
    <n v="1"/>
    <x v="5"/>
  </r>
  <r>
    <d v="2024-10-25T00:00:00"/>
    <s v="9989011232"/>
    <s v="BALBOA THEATER"/>
    <n v="2"/>
    <x v="10"/>
  </r>
  <r>
    <d v="2024-10-25T00:00:00"/>
    <s v="9989011232"/>
    <s v="BALBOA THEATER"/>
    <n v="1"/>
    <x v="15"/>
  </r>
  <r>
    <d v="2024-10-25T00:00:00"/>
    <s v="9989011234"/>
    <s v="PHILS FISH MARKET"/>
    <n v="4"/>
    <x v="13"/>
  </r>
  <r>
    <d v="2024-10-25T00:00:00"/>
    <s v="9989011234"/>
    <s v="PHILS FISH MARKET"/>
    <n v="1"/>
    <x v="27"/>
  </r>
  <r>
    <d v="2024-10-25T00:00:00"/>
    <s v="9989011234"/>
    <s v="PHILS FISH MARKET"/>
    <n v="1"/>
    <x v="21"/>
  </r>
  <r>
    <d v="2024-10-25T00:00:00"/>
    <s v="9989011235"/>
    <s v="STARBIRD CHICKEN - CORTE MADERA"/>
    <n v="2"/>
    <x v="8"/>
  </r>
  <r>
    <d v="2024-10-25T00:00:00"/>
    <s v="9989011235"/>
    <s v="STARBIRD CHICKEN - CORTE MADERA"/>
    <n v="2"/>
    <x v="17"/>
  </r>
  <r>
    <d v="2024-10-25T00:00:00"/>
    <s v="9989011235"/>
    <s v="STARBIRD CHICKEN - CORTE MADERA"/>
    <n v="1"/>
    <x v="15"/>
  </r>
  <r>
    <d v="2024-10-25T00:00:00"/>
    <s v="9989011235"/>
    <s v="STARBIRD CHICKEN - CORTE MADERA"/>
    <n v="1"/>
    <x v="10"/>
  </r>
  <r>
    <d v="2024-10-25T00:00:00"/>
    <s v="9989011236"/>
    <s v="BLUE LAGOON"/>
    <n v="2"/>
    <x v="8"/>
  </r>
  <r>
    <d v="2024-10-25T00:00:00"/>
    <s v="9989011236"/>
    <s v="BLUE LAGOON"/>
    <n v="2"/>
    <x v="14"/>
  </r>
  <r>
    <d v="2024-10-25T00:00:00"/>
    <s v="9989011236"/>
    <s v="BLUE LAGOON"/>
    <n v="2"/>
    <x v="22"/>
  </r>
  <r>
    <d v="2024-10-25T00:00:00"/>
    <s v="9989011236"/>
    <s v="BLUE LAGOON"/>
    <n v="1"/>
    <x v="28"/>
  </r>
  <r>
    <d v="2024-10-25T00:00:00"/>
    <s v="9989011236"/>
    <s v="BLUE LAGOON"/>
    <n v="1"/>
    <x v="12"/>
  </r>
  <r>
    <d v="2024-10-25T00:00:00"/>
    <s v="9989011236"/>
    <s v="BLUE LAGOON"/>
    <n v="1"/>
    <x v="10"/>
  </r>
  <r>
    <d v="2024-10-25T00:00:00"/>
    <s v="9989011237"/>
    <s v="FOX THEATER"/>
    <n v="3"/>
    <x v="22"/>
  </r>
  <r>
    <d v="2024-10-25T00:00:00"/>
    <s v="9989011237"/>
    <s v="FOX THEATER"/>
    <n v="2"/>
    <x v="8"/>
  </r>
  <r>
    <d v="2024-10-25T00:00:00"/>
    <s v="9989011237"/>
    <s v="FOX THEATER"/>
    <n v="2"/>
    <x v="12"/>
  </r>
  <r>
    <d v="2024-10-25T00:00:00"/>
    <s v="9989011237"/>
    <s v="FOX THEATER"/>
    <n v="2"/>
    <x v="14"/>
  </r>
  <r>
    <d v="2024-10-25T00:00:00"/>
    <s v="9989011237"/>
    <s v="FOX THEATER"/>
    <n v="1"/>
    <x v="15"/>
  </r>
  <r>
    <d v="2024-10-25T00:00:00"/>
    <s v="9989011237"/>
    <s v="FOX THEATER"/>
    <n v="1"/>
    <x v="21"/>
  </r>
  <r>
    <d v="2024-10-25T00:00:00"/>
    <s v="9989011237"/>
    <s v="FOX THEATER"/>
    <n v="2"/>
    <x v="28"/>
  </r>
  <r>
    <d v="2024-10-25T00:00:00"/>
    <s v="9989011238"/>
    <s v="HOLE IN THE WALL"/>
    <n v="1"/>
    <x v="19"/>
  </r>
  <r>
    <d v="2024-10-25T00:00:00"/>
    <s v="9989011239"/>
    <s v="TOP DOG #3 LAK"/>
    <n v="2"/>
    <x v="13"/>
  </r>
  <r>
    <d v="2024-10-25T00:00:00"/>
    <s v="9989011239"/>
    <s v="TOP DOG #3 LAK"/>
    <n v="1"/>
    <x v="26"/>
  </r>
  <r>
    <d v="2024-10-25T00:00:00"/>
    <s v="9989011239"/>
    <s v="TOP DOG #3 LAK"/>
    <n v="1"/>
    <x v="27"/>
  </r>
  <r>
    <d v="2024-10-25T00:00:00"/>
    <s v="9989011239"/>
    <s v="TOP DOG #3 LAK"/>
    <n v="2"/>
    <x v="5"/>
  </r>
  <r>
    <d v="2024-10-25T00:00:00"/>
    <s v="9989011239"/>
    <s v="TOP DOG #3 LAK"/>
    <n v="2"/>
    <x v="7"/>
  </r>
  <r>
    <d v="2024-10-25T00:00:00"/>
    <s v="9989011240"/>
    <s v="HEINOLDS FIRST AND LAST CHANCE"/>
    <n v="1"/>
    <x v="10"/>
  </r>
  <r>
    <d v="2024-10-25T00:00:00"/>
    <s v="9989011240"/>
    <s v="HEINOLDS FIRST AND LAST CHANCE"/>
    <n v="4"/>
    <x v="11"/>
  </r>
  <r>
    <d v="2024-10-25T00:00:00"/>
    <s v="9989011241"/>
    <s v="THE MELT (SANTA CLARA 0045)"/>
    <n v="2"/>
    <x v="8"/>
  </r>
  <r>
    <d v="2024-10-25T00:00:00"/>
    <s v="9989011241"/>
    <s v="THE MELT (SANTA CLARA 0045)"/>
    <n v="2"/>
    <x v="5"/>
  </r>
  <r>
    <d v="2024-10-25T00:00:00"/>
    <s v="9989011241"/>
    <s v="THE MELT (SANTA CLARA 0045)"/>
    <n v="2"/>
    <x v="15"/>
  </r>
  <r>
    <d v="2024-10-25T00:00:00"/>
    <s v="9989011241"/>
    <s v="THE MELT (SANTA CLARA 0045)"/>
    <n v="2"/>
    <x v="16"/>
  </r>
  <r>
    <d v="2024-10-25T00:00:00"/>
    <s v="9989011241"/>
    <s v="THE MELT (SANTA CLARA 0045)"/>
    <n v="2"/>
    <x v="9"/>
  </r>
  <r>
    <d v="2024-10-25T00:00:00"/>
    <s v="9989011241"/>
    <s v="THE MELT (SANTA CLARA 0045)"/>
    <n v="1"/>
    <x v="12"/>
  </r>
  <r>
    <d v="2024-10-25T00:00:00"/>
    <s v="9989011243"/>
    <s v="ALMANAC"/>
    <n v="4"/>
    <x v="1"/>
  </r>
  <r>
    <d v="2024-10-25T00:00:00"/>
    <s v="9989011243"/>
    <s v="ALMANAC"/>
    <n v="4"/>
    <x v="4"/>
  </r>
  <r>
    <d v="2024-10-25T00:00:00"/>
    <s v="9989011243"/>
    <s v="ALMANAC"/>
    <n v="3"/>
    <x v="11"/>
  </r>
  <r>
    <d v="2024-10-25T00:00:00"/>
    <s v="9989011243"/>
    <s v="ALMANAC"/>
    <n v="2"/>
    <x v="0"/>
  </r>
  <r>
    <d v="2024-10-25T00:00:00"/>
    <s v="9989011243"/>
    <s v="ALMANAC"/>
    <n v="1"/>
    <x v="20"/>
  </r>
  <r>
    <d v="2024-10-25T00:00:00"/>
    <s v="9989011244"/>
    <s v="VICTORS BAR"/>
    <n v="1"/>
    <x v="28"/>
  </r>
  <r>
    <d v="2024-10-25T00:00:00"/>
    <s v="9989011244"/>
    <s v="VICTORS BAR"/>
    <n v="1"/>
    <x v="29"/>
  </r>
  <r>
    <d v="2024-10-25T00:00:00"/>
    <s v="9989011244"/>
    <s v="VICTORS BAR"/>
    <n v="1"/>
    <x v="12"/>
  </r>
  <r>
    <d v="2024-10-25T00:00:00"/>
    <s v="9989011244"/>
    <s v="VICTORS BAR"/>
    <n v="1"/>
    <x v="8"/>
  </r>
  <r>
    <d v="2024-10-25T00:00:00"/>
    <s v="9989011246"/>
    <s v="SMITTY'S"/>
    <n v="1"/>
    <x v="8"/>
  </r>
  <r>
    <d v="2024-10-25T00:00:00"/>
    <s v="9989011248"/>
    <s v="WINTERS TAVERN"/>
    <n v="1"/>
    <x v="26"/>
  </r>
  <r>
    <d v="2024-10-25T00:00:00"/>
    <s v="9989011248"/>
    <s v="WINTERS TAVERN"/>
    <n v="1"/>
    <x v="7"/>
  </r>
  <r>
    <d v="2024-10-25T00:00:00"/>
    <s v="9989011248"/>
    <s v="WINTERS TAVERN"/>
    <n v="1"/>
    <x v="14"/>
  </r>
  <r>
    <d v="2024-10-25T00:00:00"/>
    <s v="9989011248"/>
    <s v="WINTERS TAVERN"/>
    <n v="1"/>
    <x v="27"/>
  </r>
  <r>
    <d v="2024-10-28T00:00:00"/>
    <s v="9989011249"/>
    <s v="BRIX BEVERAGE - SAMPLING"/>
    <n v="2"/>
    <x v="11"/>
  </r>
  <r>
    <d v="2024-10-28T00:00:00"/>
    <s v="9989011250"/>
    <s v="MCGEES"/>
    <n v="1"/>
    <x v="27"/>
  </r>
  <r>
    <d v="2024-10-28T00:00:00"/>
    <s v="9989011251"/>
    <s v="THEORY OAKLAND"/>
    <n v="1"/>
    <x v="8"/>
  </r>
  <r>
    <d v="2024-10-28T00:00:00"/>
    <s v="9989011251"/>
    <s v="THEORY OAKLAND"/>
    <n v="1"/>
    <x v="15"/>
  </r>
  <r>
    <d v="2024-10-28T00:00:00"/>
    <s v="9989011251"/>
    <s v="THEORY OAKLAND"/>
    <n v="1"/>
    <x v="12"/>
  </r>
  <r>
    <d v="2024-10-29T00:00:00"/>
    <s v="9989011252"/>
    <s v="STARBIRD CHICKEN - SF CLOUD"/>
    <n v="3"/>
    <x v="4"/>
  </r>
  <r>
    <d v="2024-10-29T00:00:00"/>
    <s v="9989011252"/>
    <s v="STARBIRD CHICKEN - SF CLOUD"/>
    <n v="2"/>
    <x v="11"/>
  </r>
  <r>
    <d v="2024-10-29T00:00:00"/>
    <s v="9989011252"/>
    <s v="STARBIRD CHICKEN - SF CLOUD"/>
    <n v="3"/>
    <x v="1"/>
  </r>
  <r>
    <d v="2024-10-29T00:00:00"/>
    <s v="9989011253"/>
    <s v="THE DEAD FISH"/>
    <n v="1"/>
    <x v="26"/>
  </r>
  <r>
    <d v="2024-10-29T00:00:00"/>
    <s v="9989011253"/>
    <s v="THE DEAD FISH"/>
    <n v="1"/>
    <x v="13"/>
  </r>
  <r>
    <d v="2024-10-29T00:00:00"/>
    <s v="9989011253"/>
    <s v="THE DEAD FISH"/>
    <n v="1"/>
    <x v="27"/>
  </r>
  <r>
    <d v="2024-10-29T00:00:00"/>
    <s v="9989011253"/>
    <s v="THE DEAD FISH"/>
    <n v="1"/>
    <x v="24"/>
  </r>
  <r>
    <d v="2024-10-29T00:00:00"/>
    <s v="9989011253"/>
    <s v="THE DEAD FISH"/>
    <n v="1"/>
    <x v="7"/>
  </r>
  <r>
    <d v="2024-10-29T00:00:00"/>
    <s v="9989011254"/>
    <s v="THE RANCHO SALOON"/>
    <n v="1"/>
    <x v="21"/>
  </r>
  <r>
    <d v="2024-10-29T00:00:00"/>
    <s v="9989011254"/>
    <s v="THE RANCHO SALOON"/>
    <n v="1"/>
    <x v="19"/>
  </r>
  <r>
    <d v="2024-10-29T00:00:00"/>
    <s v="9989011254"/>
    <s v="THE RANCHO SALOON"/>
    <n v="1"/>
    <x v="8"/>
  </r>
  <r>
    <d v="2024-10-29T00:00:00"/>
    <s v="9989011255"/>
    <s v="MISSOURI LOUNGE &amp; CAFE"/>
    <n v="1"/>
    <x v="18"/>
  </r>
  <r>
    <d v="2024-10-29T00:00:00"/>
    <s v="9989011255"/>
    <s v="MISSOURI LOUNGE &amp; CAFE"/>
    <n v="1"/>
    <x v="10"/>
  </r>
  <r>
    <d v="2024-10-29T00:00:00"/>
    <s v="9989011256"/>
    <s v="VOGUE THEATRE"/>
    <n v="1"/>
    <x v="8"/>
  </r>
  <r>
    <d v="2024-10-29T00:00:00"/>
    <s v="9989011256"/>
    <s v="VOGUE THEATRE"/>
    <n v="1"/>
    <x v="15"/>
  </r>
  <r>
    <d v="2024-10-29T00:00:00"/>
    <s v="9989011256"/>
    <s v="VOGUE THEATRE"/>
    <n v="1"/>
    <x v="7"/>
  </r>
  <r>
    <d v="2024-10-29T00:00:00"/>
    <s v="9989011256"/>
    <s v="VOGUE THEATRE"/>
    <n v="1"/>
    <x v="12"/>
  </r>
  <r>
    <d v="2024-10-29T00:00:00"/>
    <s v="9989011256"/>
    <s v="VOGUE THEATRE"/>
    <n v="1"/>
    <x v="5"/>
  </r>
  <r>
    <d v="2024-10-29T00:00:00"/>
    <s v="9989011257"/>
    <s v="BRIX BEVERAGE - SAMPLING"/>
    <n v="1"/>
    <x v="4"/>
  </r>
  <r>
    <d v="2024-10-29T00:00:00"/>
    <s v="9989011257"/>
    <s v="BRIX BEVERAGE - SAMPLING"/>
    <n v="1"/>
    <x v="0"/>
  </r>
  <r>
    <d v="2024-10-29T00:00:00"/>
    <s v="9989011257"/>
    <s v="BRIX BEVERAGE - SAMPLING"/>
    <n v="1"/>
    <x v="11"/>
  </r>
  <r>
    <d v="2024-10-29T00:00:00"/>
    <s v="9989011258"/>
    <s v="BERKELEY TAP HAUS"/>
    <n v="1"/>
    <x v="15"/>
  </r>
  <r>
    <d v="2024-10-29T00:00:00"/>
    <s v="9989011258"/>
    <s v="BERKELEY TAP HAUS"/>
    <n v="1"/>
    <x v="8"/>
  </r>
  <r>
    <d v="2024-10-29T00:00:00"/>
    <s v="9989011258"/>
    <s v="BERKELEY TAP HAUS"/>
    <n v="1"/>
    <x v="12"/>
  </r>
  <r>
    <d v="2024-10-29T00:00:00"/>
    <s v="9989011259"/>
    <s v="HONG KONG EAST OCEAN RESTAURANT"/>
    <n v="1"/>
    <x v="19"/>
  </r>
  <r>
    <d v="2024-10-29T00:00:00"/>
    <s v="9989011259"/>
    <s v="HONG KONG EAST OCEAN RESTAURANT"/>
    <n v="1"/>
    <x v="19"/>
  </r>
  <r>
    <d v="2024-10-29T00:00:00"/>
    <s v="9989011260"/>
    <s v="WOLFHOUND"/>
    <n v="1"/>
    <x v="19"/>
  </r>
  <r>
    <d v="2024-10-29T00:00:00"/>
    <s v="9989011260"/>
    <s v="WOLFHOUND"/>
    <n v="1"/>
    <x v="8"/>
  </r>
  <r>
    <d v="2024-10-29T00:00:00"/>
    <s v="9989011261"/>
    <s v="THE MELT (WEST HOLLYWOOD)"/>
    <n v="1"/>
    <x v="16"/>
  </r>
  <r>
    <d v="2024-10-29T00:00:00"/>
    <s v="9989011261"/>
    <s v="THE MELT (WEST HOLLYWOOD)"/>
    <n v="1"/>
    <x v="8"/>
  </r>
  <r>
    <d v="2024-10-29T00:00:00"/>
    <s v="9989011261"/>
    <s v="THE MELT (WEST HOLLYWOOD)"/>
    <n v="1"/>
    <x v="15"/>
  </r>
  <r>
    <d v="2024-10-29T00:00:00"/>
    <s v="9989011261"/>
    <s v="THE MELT (WEST HOLLYWOOD)"/>
    <n v="1"/>
    <x v="10"/>
  </r>
  <r>
    <d v="2024-10-29T00:00:00"/>
    <s v="9989011261"/>
    <s v="THE MELT (WEST HOLLYWOOD)"/>
    <n v="1"/>
    <x v="5"/>
  </r>
  <r>
    <d v="2024-10-29T00:00:00"/>
    <s v="9989011262"/>
    <s v="THE NEW PARKWAY"/>
    <n v="2"/>
    <x v="5"/>
  </r>
  <r>
    <d v="2024-10-29T00:00:00"/>
    <s v="9989011263"/>
    <s v="PIXAR ANIMATION STUDIOS"/>
    <n v="1"/>
    <x v="10"/>
  </r>
  <r>
    <d v="2024-10-29T00:00:00"/>
    <s v="9989011263"/>
    <s v="PIXAR ANIMATION STUDIOS"/>
    <n v="1"/>
    <x v="5"/>
  </r>
  <r>
    <d v="2024-10-29T00:00:00"/>
    <s v="9989011263"/>
    <s v="PIXAR ANIMATION STUDIOS"/>
    <n v="2"/>
    <x v="15"/>
  </r>
  <r>
    <d v="2024-10-29T00:00:00"/>
    <s v="9989011263"/>
    <s v="PIXAR ANIMATION STUDIOS"/>
    <n v="2"/>
    <x v="38"/>
  </r>
  <r>
    <d v="2024-10-30T00:00:00"/>
    <s v="9989011264"/>
    <s v="CANYON CLUB BREWERY"/>
    <n v="1"/>
    <x v="7"/>
  </r>
  <r>
    <d v="2024-10-30T00:00:00"/>
    <s v="9989011264"/>
    <s v="CANYON CLUB BREWERY"/>
    <n v="1"/>
    <x v="10"/>
  </r>
  <r>
    <d v="2024-10-30T00:00:00"/>
    <s v="9989011264"/>
    <s v="CANYON CLUB BREWERY"/>
    <n v="1"/>
    <x v="15"/>
  </r>
  <r>
    <d v="2024-10-30T00:00:00"/>
    <s v="9989011265"/>
    <s v="BEST WESTERN EL RANCHO INN"/>
    <n v="3"/>
    <x v="25"/>
  </r>
  <r>
    <d v="2024-10-30T00:00:00"/>
    <s v="9989011265"/>
    <s v="BEST WESTERN EL RANCHO INN"/>
    <n v="1"/>
    <x v="21"/>
  </r>
  <r>
    <d v="2024-10-30T00:00:00"/>
    <s v="9989011266"/>
    <s v="HEADLANDS BREWING - LAFAYETTE"/>
    <n v="3"/>
    <x v="5"/>
  </r>
  <r>
    <d v="2024-10-30T00:00:00"/>
    <s v="9989011266"/>
    <s v="HEADLANDS BREWING - LAFAYETTE"/>
    <n v="2"/>
    <x v="8"/>
  </r>
  <r>
    <d v="2024-10-30T00:00:00"/>
    <s v="9989011266"/>
    <s v="HEADLANDS BREWING - LAFAYETTE"/>
    <n v="2"/>
    <x v="15"/>
  </r>
  <r>
    <d v="2024-10-30T00:00:00"/>
    <s v="9989011266"/>
    <s v="HEADLANDS BREWING - LAFAYETTE"/>
    <n v="1"/>
    <x v="12"/>
  </r>
  <r>
    <d v="2024-10-30T00:00:00"/>
    <s v="9989011266"/>
    <s v="HEADLANDS BREWING - LAFAYETTE"/>
    <n v="1"/>
    <x v="24"/>
  </r>
  <r>
    <d v="2024-10-30T00:00:00"/>
    <s v="9989011267"/>
    <s v="THE MELT (DANVILLE)"/>
    <n v="2"/>
    <x v="8"/>
  </r>
  <r>
    <d v="2024-10-30T00:00:00"/>
    <s v="9989011267"/>
    <s v="THE MELT (DANVILLE)"/>
    <n v="1"/>
    <x v="5"/>
  </r>
  <r>
    <d v="2024-10-30T00:00:00"/>
    <s v="9989011268"/>
    <s v="CAMERONS RESTAURANT &amp; PUB"/>
    <n v="2"/>
    <x v="24"/>
  </r>
  <r>
    <d v="2024-10-30T00:00:00"/>
    <s v="9989011268"/>
    <s v="CAMERONS RESTAURANT &amp; PUB"/>
    <n v="2"/>
    <x v="12"/>
  </r>
  <r>
    <d v="2024-10-30T00:00:00"/>
    <s v="9989011268"/>
    <s v="CAMERONS RESTAURANT &amp; PUB"/>
    <n v="2"/>
    <x v="8"/>
  </r>
  <r>
    <d v="2024-10-30T00:00:00"/>
    <s v="9989011268"/>
    <s v="CAMERONS RESTAURANT &amp; PUB"/>
    <n v="1"/>
    <x v="7"/>
  </r>
  <r>
    <d v="2024-10-30T00:00:00"/>
    <s v="9989011268"/>
    <s v="CAMERONS RESTAURANT &amp; PUB"/>
    <n v="1"/>
    <x v="14"/>
  </r>
  <r>
    <d v="2024-10-30T00:00:00"/>
    <s v="9989011268"/>
    <s v="CAMERONS RESTAURANT &amp; PUB"/>
    <n v="1"/>
    <x v="5"/>
  </r>
  <r>
    <d v="2024-10-30T00:00:00"/>
    <s v="9989011268"/>
    <s v="CAMERONS RESTAURANT &amp; PUB"/>
    <n v="1"/>
    <x v="15"/>
  </r>
  <r>
    <d v="2024-10-30T00:00:00"/>
    <s v="9989011269"/>
    <s v="DANVILLE BREWERY"/>
    <n v="1"/>
    <x v="26"/>
  </r>
  <r>
    <d v="2024-10-30T00:00:00"/>
    <s v="9989011269"/>
    <s v="DANVILLE BREWERY"/>
    <n v="1"/>
    <x v="13"/>
  </r>
  <r>
    <d v="2024-10-30T00:00:00"/>
    <s v="9989011269"/>
    <s v="DANVILLE BREWERY"/>
    <n v="1"/>
    <x v="27"/>
  </r>
  <r>
    <d v="2024-10-30T00:00:00"/>
    <s v="9989011269"/>
    <s v="DANVILLE BREWERY"/>
    <n v="1"/>
    <x v="9"/>
  </r>
  <r>
    <d v="2024-10-30T00:00:00"/>
    <s v="9989011269"/>
    <s v="DANVILLE BREWERY"/>
    <n v="1"/>
    <x v="17"/>
  </r>
  <r>
    <d v="2024-10-30T00:00:00"/>
    <s v="9989011269"/>
    <s v="DANVILLE BREWERY"/>
    <n v="1"/>
    <x v="5"/>
  </r>
  <r>
    <d v="2024-10-30T00:00:00"/>
    <s v="9989011270"/>
    <s v="LUNA LOCA (JAINS FOODS)"/>
    <n v="1"/>
    <x v="15"/>
  </r>
  <r>
    <d v="2024-10-30T00:00:00"/>
    <s v="9989011270"/>
    <s v="LUNA LOCA (JAINS FOODS)"/>
    <n v="1"/>
    <x v="8"/>
  </r>
  <r>
    <d v="2024-10-30T00:00:00"/>
    <s v="9989011270"/>
    <s v="LUNA LOCA (JAINS FOODS)"/>
    <n v="1"/>
    <x v="12"/>
  </r>
  <r>
    <d v="2024-10-30T00:00:00"/>
    <s v="9989011271"/>
    <s v="CALI KID BURGERS AND SHAKES"/>
    <n v="2"/>
    <x v="8"/>
  </r>
  <r>
    <d v="2024-10-30T00:00:00"/>
    <s v="9989011271"/>
    <s v="CALI KID BURGERS AND SHAKES"/>
    <n v="1"/>
    <x v="15"/>
  </r>
  <r>
    <d v="2024-10-30T00:00:00"/>
    <s v="9989011271"/>
    <s v="CALI KID BURGERS AND SHAKES"/>
    <n v="1"/>
    <x v="12"/>
  </r>
  <r>
    <d v="2024-10-30T00:00:00"/>
    <s v="9989011271"/>
    <s v="CALI KID BURGERS AND SHAKES"/>
    <n v="1"/>
    <x v="5"/>
  </r>
  <r>
    <d v="2024-10-30T00:00:00"/>
    <s v="9989011271"/>
    <s v="CALI KID BURGERS AND SHAKES"/>
    <n v="1"/>
    <x v="17"/>
  </r>
  <r>
    <d v="2024-10-30T00:00:00"/>
    <s v="9989011271"/>
    <s v="CALI KID BURGERS AND SHAKES"/>
    <n v="1"/>
    <x v="10"/>
  </r>
  <r>
    <d v="2024-10-30T00:00:00"/>
    <s v="9989011272"/>
    <s v="STATE OF MIND PUBLIC HOUSE REDWOOD CITY"/>
    <n v="1"/>
    <x v="8"/>
  </r>
  <r>
    <d v="2024-10-30T00:00:00"/>
    <s v="9989011272"/>
    <s v="STATE OF MIND PUBLIC HOUSE REDWOOD CITY"/>
    <n v="1"/>
    <x v="12"/>
  </r>
  <r>
    <d v="2024-10-30T00:00:00"/>
    <s v="9989011272"/>
    <s v="STATE OF MIND PUBLIC HOUSE REDWOOD CITY"/>
    <n v="1"/>
    <x v="7"/>
  </r>
  <r>
    <d v="2024-10-30T00:00:00"/>
    <s v="9989011273"/>
    <s v="AVIATION ROOFTOP BAR AND KITCHEN"/>
    <n v="1"/>
    <x v="10"/>
  </r>
  <r>
    <d v="2024-10-30T00:00:00"/>
    <s v="9989011273"/>
    <s v="AVIATION ROOFTOP BAR AND KITCHEN"/>
    <n v="1"/>
    <x v="15"/>
  </r>
  <r>
    <d v="2024-10-30T00:00:00"/>
    <s v="9989011273"/>
    <s v="AVIATION ROOFTOP BAR AND KITCHEN"/>
    <n v="1"/>
    <x v="12"/>
  </r>
  <r>
    <d v="2024-10-30T00:00:00"/>
    <s v="9989011274"/>
    <s v="STATE OF MIND SLICE HOUSE  (PALO ALTO)"/>
    <n v="2"/>
    <x v="8"/>
  </r>
  <r>
    <d v="2024-10-30T00:00:00"/>
    <s v="9989011274"/>
    <s v="STATE OF MIND SLICE HOUSE  (PALO ALTO)"/>
    <n v="1"/>
    <x v="7"/>
  </r>
  <r>
    <d v="2024-10-30T00:00:00"/>
    <s v="9989011274"/>
    <s v="STATE OF MIND SLICE HOUSE  (PALO ALTO)"/>
    <n v="1"/>
    <x v="19"/>
  </r>
  <r>
    <d v="2024-10-30T00:00:00"/>
    <s v="9989011275"/>
    <s v="STATE OF MIND PUBLIC HOUSE &amp; PIZZERIA (LOS ALTOS)"/>
    <n v="1"/>
    <x v="15"/>
  </r>
  <r>
    <d v="2024-10-30T00:00:00"/>
    <s v="9989011275"/>
    <s v="STATE OF MIND PUBLIC HOUSE &amp; PIZZERIA (LOS ALTOS)"/>
    <n v="1"/>
    <x v="8"/>
  </r>
  <r>
    <d v="2024-10-30T00:00:00"/>
    <s v="9989011275"/>
    <s v="STATE OF MIND PUBLIC HOUSE &amp; PIZZERIA (LOS ALTOS)"/>
    <n v="1"/>
    <x v="19"/>
  </r>
  <r>
    <d v="2024-10-30T00:00:00"/>
    <s v="9989011275"/>
    <s v="STATE OF MIND PUBLIC HOUSE &amp; PIZZERIA (LOS ALTOS)"/>
    <n v="1"/>
    <x v="12"/>
  </r>
  <r>
    <d v="2024-10-30T00:00:00"/>
    <s v="9989011275"/>
    <s v="STATE OF MIND PUBLIC HOUSE &amp; PIZZERIA (LOS ALTOS)"/>
    <n v="1"/>
    <x v="7"/>
  </r>
  <r>
    <d v="2024-10-30T00:00:00"/>
    <s v="9989011276"/>
    <s v="MONTE CARLO"/>
    <n v="4"/>
    <x v="28"/>
  </r>
  <r>
    <d v="2024-10-30T00:00:00"/>
    <s v="9989011276"/>
    <s v="MONTE CARLO"/>
    <n v="4"/>
    <x v="14"/>
  </r>
  <r>
    <d v="2024-10-30T00:00:00"/>
    <s v="9989011276"/>
    <s v="MONTE CARLO"/>
    <n v="5"/>
    <x v="29"/>
  </r>
  <r>
    <d v="2024-10-30T00:00:00"/>
    <s v="9989011276"/>
    <s v="MONTE CARLO"/>
    <n v="4"/>
    <x v="22"/>
  </r>
  <r>
    <d v="2024-10-30T00:00:00"/>
    <s v="9989011276"/>
    <s v="MONTE CARLO"/>
    <n v="3"/>
    <x v="21"/>
  </r>
  <r>
    <d v="2024-10-30T00:00:00"/>
    <s v="9989011277"/>
    <s v="CROWN AND CROW"/>
    <n v="1"/>
    <x v="8"/>
  </r>
  <r>
    <d v="2024-10-30T00:00:00"/>
    <s v="9989011277"/>
    <s v="CROWN AND CROW"/>
    <n v="1"/>
    <x v="15"/>
  </r>
  <r>
    <d v="2024-10-30T00:00:00"/>
    <s v="9989011277"/>
    <s v="CROWN AND CROW"/>
    <n v="1"/>
    <x v="19"/>
  </r>
  <r>
    <d v="2024-10-30T00:00:00"/>
    <s v="9989011277"/>
    <s v="CROWN AND CROW"/>
    <n v="1"/>
    <x v="14"/>
  </r>
  <r>
    <d v="2024-10-30T00:00:00"/>
    <s v="9989011277"/>
    <s v="CROWN AND CROW"/>
    <n v="1"/>
    <x v="12"/>
  </r>
  <r>
    <d v="2024-10-30T00:00:00"/>
    <s v="9989011278"/>
    <s v="STARBIRD CHICKEN - SUNNYVALE"/>
    <n v="2"/>
    <x v="8"/>
  </r>
  <r>
    <d v="2024-10-30T00:00:00"/>
    <s v="9989011278"/>
    <s v="STARBIRD CHICKEN - SUNNYVALE"/>
    <n v="2"/>
    <x v="15"/>
  </r>
  <r>
    <d v="2024-10-30T00:00:00"/>
    <s v="9989011278"/>
    <s v="STARBIRD CHICKEN - SUNNYVALE"/>
    <n v="3"/>
    <x v="12"/>
  </r>
  <r>
    <d v="2024-10-30T00:00:00"/>
    <s v="9989011278"/>
    <s v="STARBIRD CHICKEN - SUNNYVALE"/>
    <n v="1"/>
    <x v="10"/>
  </r>
  <r>
    <d v="2024-10-30T00:00:00"/>
    <s v="9989011278"/>
    <s v="STARBIRD CHICKEN - SUNNYVALE"/>
    <n v="2"/>
    <x v="5"/>
  </r>
  <r>
    <d v="2024-10-30T00:00:00"/>
    <s v="9989011278"/>
    <s v="STARBIRD CHICKEN - SUNNYVALE"/>
    <n v="1"/>
    <x v="17"/>
  </r>
  <r>
    <d v="2024-10-30T00:00:00"/>
    <s v="9989011278"/>
    <s v="STARBIRD CHICKEN - SUNNYVALE"/>
    <n v="1"/>
    <x v="23"/>
  </r>
  <r>
    <d v="2024-10-30T00:00:00"/>
    <s v="9989011279"/>
    <s v="THE YARD"/>
    <n v="1"/>
    <x v="13"/>
  </r>
  <r>
    <d v="2024-10-30T00:00:00"/>
    <s v="9989011279"/>
    <s v="THE YARD"/>
    <n v="1"/>
    <x v="27"/>
  </r>
  <r>
    <d v="2024-10-30T00:00:00"/>
    <s v="9989011281"/>
    <s v="EVOLUTION"/>
    <n v="2"/>
    <x v="21"/>
  </r>
  <r>
    <d v="2024-10-30T00:00:00"/>
    <s v="9989011281"/>
    <s v="EVOLUTION"/>
    <n v="1"/>
    <x v="14"/>
  </r>
  <r>
    <d v="2024-10-30T00:00:00"/>
    <s v="9989011281"/>
    <s v="EVOLUTION"/>
    <n v="1"/>
    <x v="29"/>
  </r>
  <r>
    <d v="2024-10-30T00:00:00"/>
    <s v="9989011282"/>
    <s v="GOLD RUSH EATERY"/>
    <n v="2"/>
    <x v="7"/>
  </r>
  <r>
    <d v="2024-10-30T00:00:00"/>
    <s v="9989011282"/>
    <s v="GOLD RUSH EATERY"/>
    <n v="1"/>
    <x v="9"/>
  </r>
  <r>
    <d v="2024-10-30T00:00:00"/>
    <s v="9989011282"/>
    <s v="GOLD RUSH EATERY"/>
    <n v="1"/>
    <x v="17"/>
  </r>
  <r>
    <d v="2024-10-30T00:00:00"/>
    <s v="9989011282"/>
    <s v="GOLD RUSH EATERY"/>
    <n v="1"/>
    <x v="24"/>
  </r>
  <r>
    <d v="2024-10-30T00:00:00"/>
    <s v="9989011282"/>
    <s v="GOLD RUSH EATERY"/>
    <n v="2"/>
    <x v="3"/>
  </r>
  <r>
    <d v="2024-10-30T00:00:00"/>
    <s v="9989011282"/>
    <s v="GOLD RUSH EATERY"/>
    <n v="1"/>
    <x v="4"/>
  </r>
  <r>
    <d v="2024-10-30T00:00:00"/>
    <s v="9989011284"/>
    <s v="THE MELT (SUNNYVALE #0043)"/>
    <n v="1"/>
    <x v="16"/>
  </r>
  <r>
    <d v="2024-10-30T00:00:00"/>
    <s v="9989011284"/>
    <s v="THE MELT (SUNNYVALE #0043)"/>
    <n v="1"/>
    <x v="8"/>
  </r>
  <r>
    <d v="2024-10-30T00:00:00"/>
    <s v="9989011284"/>
    <s v="THE MELT (SUNNYVALE #0043)"/>
    <n v="2"/>
    <x v="15"/>
  </r>
  <r>
    <d v="2024-10-30T00:00:00"/>
    <s v="9989011284"/>
    <s v="THE MELT (SUNNYVALE #0043)"/>
    <n v="1"/>
    <x v="10"/>
  </r>
  <r>
    <d v="2024-10-30T00:00:00"/>
    <s v="9989011284"/>
    <s v="THE MELT (SUNNYVALE #0043)"/>
    <n v="1"/>
    <x v="12"/>
  </r>
  <r>
    <d v="2024-10-30T00:00:00"/>
    <s v="9989011284"/>
    <s v="THE MELT (SUNNYVALE #0043)"/>
    <n v="1"/>
    <x v="9"/>
  </r>
  <r>
    <d v="2024-10-30T00:00:00"/>
    <s v="9989011284"/>
    <s v="THE MELT (SUNNYVALE #0043)"/>
    <n v="2"/>
    <x v="5"/>
  </r>
  <r>
    <d v="2024-10-30T00:00:00"/>
    <s v="9989011286"/>
    <s v="SCOLARIS ON PARK ST"/>
    <n v="2"/>
    <x v="11"/>
  </r>
  <r>
    <d v="2024-10-30T00:00:00"/>
    <s v="9989011286"/>
    <s v="SCOLARIS ON PARK ST"/>
    <n v="5"/>
    <x v="1"/>
  </r>
  <r>
    <d v="2024-10-30T00:00:00"/>
    <s v="9989011286"/>
    <s v="SCOLARIS ON PARK ST"/>
    <n v="6"/>
    <x v="4"/>
  </r>
  <r>
    <d v="2024-10-30T00:00:00"/>
    <s v="9989011286"/>
    <s v="SCOLARIS ON PARK ST"/>
    <n v="2"/>
    <x v="3"/>
  </r>
  <r>
    <d v="2024-10-30T00:00:00"/>
    <s v="9989011286"/>
    <s v="SCOLARIS ON PARK ST"/>
    <n v="3"/>
    <x v="2"/>
  </r>
  <r>
    <d v="2024-10-30T00:00:00"/>
    <s v="9989011287"/>
    <s v="STARBIRD CHICKEN - SOUTH SAN FRANCISCO"/>
    <n v="3"/>
    <x v="8"/>
  </r>
  <r>
    <d v="2024-10-30T00:00:00"/>
    <s v="9989011287"/>
    <s v="STARBIRD CHICKEN - SOUTH SAN FRANCISCO"/>
    <n v="2"/>
    <x v="15"/>
  </r>
  <r>
    <d v="2024-10-30T00:00:00"/>
    <s v="9989011287"/>
    <s v="STARBIRD CHICKEN - SOUTH SAN FRANCISCO"/>
    <n v="2"/>
    <x v="5"/>
  </r>
  <r>
    <d v="2024-10-30T00:00:00"/>
    <s v="9989011287"/>
    <s v="STARBIRD CHICKEN - SOUTH SAN FRANCISCO"/>
    <n v="2"/>
    <x v="17"/>
  </r>
  <r>
    <d v="2024-10-30T00:00:00"/>
    <s v="9989011287"/>
    <s v="STARBIRD CHICKEN - SOUTH SAN FRANCISCO"/>
    <n v="1"/>
    <x v="12"/>
  </r>
  <r>
    <d v="2024-10-30T00:00:00"/>
    <s v="9989011287"/>
    <s v="STARBIRD CHICKEN - SOUTH SAN FRANCISCO"/>
    <n v="1"/>
    <x v="23"/>
  </r>
  <r>
    <d v="2024-10-30T00:00:00"/>
    <s v="9989011287"/>
    <s v="STARBIRD CHICKEN - SOUTH SAN FRANCISCO"/>
    <n v="1"/>
    <x v="10"/>
  </r>
  <r>
    <d v="2024-10-30T00:00:00"/>
    <s v="9989011287"/>
    <s v="STARBIRD CHICKEN - SOUTH SAN FRANCISCO"/>
    <n v="2"/>
    <x v="1"/>
  </r>
  <r>
    <d v="2024-10-30T00:00:00"/>
    <s v="9989011287"/>
    <s v="STARBIRD CHICKEN - SOUTH SAN FRANCISCO"/>
    <n v="1"/>
    <x v="11"/>
  </r>
  <r>
    <d v="2024-10-30T00:00:00"/>
    <s v="9989011287"/>
    <s v="STARBIRD CHICKEN - SOUTH SAN FRANCISCO"/>
    <n v="2"/>
    <x v="4"/>
  </r>
  <r>
    <d v="2024-10-30T00:00:00"/>
    <s v="9989011287"/>
    <s v="STARBIRD CHICKEN - SOUTH SAN FRANCISCO"/>
    <n v="2"/>
    <x v="3"/>
  </r>
  <r>
    <d v="2024-10-31T00:00:00"/>
    <s v="9989011288"/>
    <s v="HOG ISLAND OYSTER CO"/>
    <n v="2"/>
    <x v="26"/>
  </r>
  <r>
    <d v="2024-10-31T00:00:00"/>
    <s v="9989011288"/>
    <s v="HOG ISLAND OYSTER CO"/>
    <n v="2"/>
    <x v="13"/>
  </r>
  <r>
    <d v="2024-10-31T00:00:00"/>
    <s v="9989011288"/>
    <s v="HOG ISLAND OYSTER CO"/>
    <n v="2"/>
    <x v="27"/>
  </r>
  <r>
    <d v="2024-10-31T00:00:00"/>
    <s v="9989011290"/>
    <s v="STARBIRD CHICKEN - SF CLOUD"/>
    <n v="7"/>
    <x v="3"/>
  </r>
  <r>
    <d v="2024-10-31T00:00:00"/>
    <s v="9989011291"/>
    <s v="STARBIRD CHICKEN - CAMPBELL"/>
    <n v="5"/>
    <x v="10"/>
  </r>
  <r>
    <d v="2024-10-31T00:00:00"/>
    <s v="9989011291"/>
    <s v="STARBIRD CHICKEN - CAMPBELL"/>
    <n v="2"/>
    <x v="8"/>
  </r>
  <r>
    <d v="2024-10-31T00:00:00"/>
    <s v="9989011292"/>
    <s v="STRAITS SANTANA ROW"/>
    <n v="1"/>
    <x v="8"/>
  </r>
  <r>
    <d v="2024-10-31T00:00:00"/>
    <s v="9989011292"/>
    <s v="STRAITS SANTANA ROW"/>
    <n v="1"/>
    <x v="12"/>
  </r>
  <r>
    <d v="2024-10-31T00:00:00"/>
    <s v="9989011292"/>
    <s v="STRAITS SANTANA ROW"/>
    <n v="2"/>
    <x v="28"/>
  </r>
  <r>
    <d v="2024-10-31T00:00:00"/>
    <s v="9989011293"/>
    <s v="STARBIRD CHICKEN - SAN JOSE"/>
    <n v="1"/>
    <x v="8"/>
  </r>
  <r>
    <d v="2024-10-31T00:00:00"/>
    <s v="9989011293"/>
    <s v="STARBIRD CHICKEN - SAN JOSE"/>
    <n v="2"/>
    <x v="15"/>
  </r>
  <r>
    <d v="2024-10-31T00:00:00"/>
    <s v="9989011293"/>
    <s v="STARBIRD CHICKEN - SAN JOSE"/>
    <n v="1"/>
    <x v="5"/>
  </r>
  <r>
    <d v="2024-10-31T00:00:00"/>
    <s v="9989011293"/>
    <s v="STARBIRD CHICKEN - SAN JOSE"/>
    <n v="1"/>
    <x v="12"/>
  </r>
  <r>
    <d v="2024-10-31T00:00:00"/>
    <s v="9989011293"/>
    <s v="STARBIRD CHICKEN - SAN JOSE"/>
    <n v="1"/>
    <x v="10"/>
  </r>
  <r>
    <d v="2024-10-31T00:00:00"/>
    <s v="9989011293"/>
    <s v="STARBIRD CHICKEN - SAN JOSE"/>
    <n v="1"/>
    <x v="17"/>
  </r>
  <r>
    <d v="2024-10-31T00:00:00"/>
    <s v="9989011293"/>
    <s v="STARBIRD CHICKEN - SAN JOSE"/>
    <n v="1"/>
    <x v="11"/>
  </r>
  <r>
    <d v="2024-10-31T00:00:00"/>
    <s v="9989011293"/>
    <s v="STARBIRD CHICKEN - SAN JOSE"/>
    <n v="1"/>
    <x v="1"/>
  </r>
  <r>
    <d v="2024-10-31T00:00:00"/>
    <s v="9989011293"/>
    <s v="STARBIRD CHICKEN - SAN JOSE"/>
    <n v="1"/>
    <x v="4"/>
  </r>
  <r>
    <d v="2024-10-31T00:00:00"/>
    <s v="9989011293"/>
    <s v="STARBIRD CHICKEN - SAN JOSE"/>
    <n v="1"/>
    <x v="3"/>
  </r>
  <r>
    <d v="2024-10-31T00:00:00"/>
    <s v="9989011294"/>
    <s v="AMERICAN LEGION 791 SJ"/>
    <n v="2"/>
    <x v="8"/>
  </r>
  <r>
    <d v="2024-10-31T00:00:00"/>
    <s v="9989011294"/>
    <s v="AMERICAN LEGION 791 SJ"/>
    <n v="1"/>
    <x v="12"/>
  </r>
  <r>
    <d v="2024-10-31T00:00:00"/>
    <s v="9989011295"/>
    <s v="STARBIRD CHICKEN - SUNNYVALE"/>
    <n v="4"/>
    <x v="1"/>
  </r>
  <r>
    <d v="2024-10-31T00:00:00"/>
    <s v="9989011295"/>
    <s v="STARBIRD CHICKEN - SUNNYVALE"/>
    <n v="3"/>
    <x v="11"/>
  </r>
  <r>
    <d v="2024-10-31T00:00:00"/>
    <s v="9989011295"/>
    <s v="STARBIRD CHICKEN - SUNNYVALE"/>
    <n v="3"/>
    <x v="4"/>
  </r>
  <r>
    <d v="2024-10-31T00:00:00"/>
    <s v="9989011297"/>
    <s v="ELKS LODGE FREMONT #2121"/>
    <n v="2"/>
    <x v="15"/>
  </r>
  <r>
    <d v="2024-10-31T00:00:00"/>
    <s v="9989011297"/>
    <s v="ELKS LODGE FREMONT #2121"/>
    <n v="1"/>
    <x v="8"/>
  </r>
  <r>
    <d v="2024-10-31T00:00:00"/>
    <s v="9989011297"/>
    <s v="ELKS LODGE FREMONT #2121"/>
    <n v="1"/>
    <x v="14"/>
  </r>
  <r>
    <d v="2024-10-31T00:00:00"/>
    <s v="9989011297"/>
    <s v="ELKS LODGE FREMONT #2121"/>
    <n v="1"/>
    <x v="18"/>
  </r>
  <r>
    <d v="2024-10-31T00:00:00"/>
    <s v="9989011297"/>
    <s v="ELKS LODGE FREMONT #2121"/>
    <n v="1"/>
    <x v="19"/>
  </r>
  <r>
    <d v="2024-10-31T00:00:00"/>
    <s v="9989011298"/>
    <s v="CITY NIGHTS"/>
    <n v="1"/>
    <x v="14"/>
  </r>
  <r>
    <d v="2024-10-31T00:00:00"/>
    <s v="9989011298"/>
    <s v="CITY NIGHTS"/>
    <n v="1"/>
    <x v="22"/>
  </r>
  <r>
    <d v="2024-10-31T00:00:00"/>
    <s v="9989011298"/>
    <s v="CITY NIGHTS"/>
    <n v="1"/>
    <x v="18"/>
  </r>
  <r>
    <d v="2024-10-31T00:00:00"/>
    <s v="9989011298"/>
    <s v="CITY NIGHTS"/>
    <n v="1"/>
    <x v="12"/>
  </r>
  <r>
    <d v="2024-10-31T00:00:00"/>
    <s v="9989011298"/>
    <s v="CITY NIGHTS"/>
    <n v="1"/>
    <x v="8"/>
  </r>
  <r>
    <d v="2024-10-31T00:00:00"/>
    <s v="9989011299"/>
    <s v="BRONCO BILLY'S PIZZA PALACE FREMONT NILES"/>
    <n v="4"/>
    <x v="13"/>
  </r>
  <r>
    <d v="2024-10-31T00:00:00"/>
    <s v="9989011299"/>
    <s v="BRONCO BILLY'S PIZZA PALACE FREMONT NILES"/>
    <n v="2"/>
    <x v="26"/>
  </r>
  <r>
    <d v="2024-10-31T00:00:00"/>
    <s v="9989011299"/>
    <s v="BRONCO BILLY'S PIZZA PALACE FREMONT NILES"/>
    <n v="1"/>
    <x v="27"/>
  </r>
  <r>
    <d v="2024-10-31T00:00:00"/>
    <s v="9989011299"/>
    <s v="BRONCO BILLY'S PIZZA PALACE FREMONT NILES"/>
    <n v="1"/>
    <x v="17"/>
  </r>
  <r>
    <d v="2024-10-31T00:00:00"/>
    <s v="9989011299"/>
    <s v="BRONCO BILLY'S PIZZA PALACE FREMONT NILES"/>
    <n v="1"/>
    <x v="5"/>
  </r>
  <r>
    <d v="2024-10-31T00:00:00"/>
    <s v="9989011299"/>
    <s v="BRONCO BILLY'S PIZZA PALACE FREMONT NILES"/>
    <n v="1"/>
    <x v="7"/>
  </r>
  <r>
    <d v="2024-10-31T00:00:00"/>
    <s v="9989011300"/>
    <s v="THE MELT (GAS LAMP SAN DIEGO)"/>
    <n v="2"/>
    <x v="8"/>
  </r>
  <r>
    <d v="2024-10-31T00:00:00"/>
    <s v="9989011300"/>
    <s v="THE MELT (GAS LAMP SAN DIEGO)"/>
    <n v="1"/>
    <x v="5"/>
  </r>
  <r>
    <d v="2024-10-31T00:00:00"/>
    <s v="9989011300"/>
    <s v="THE MELT (GAS LAMP SAN DIEGO)"/>
    <n v="1"/>
    <x v="15"/>
  </r>
  <r>
    <d v="2024-10-31T00:00:00"/>
    <s v="9989011300"/>
    <s v="THE MELT (GAS LAMP SAN DIEGO)"/>
    <n v="1"/>
    <x v="12"/>
  </r>
  <r>
    <d v="2024-10-31T00:00:00"/>
    <s v="9989011302"/>
    <s v="EL TENAMPA"/>
    <n v="3"/>
    <x v="28"/>
  </r>
  <r>
    <d v="2024-10-31T00:00:00"/>
    <s v="9989011303"/>
    <s v="BRONCO BILLYS HAYWARD"/>
    <n v="1"/>
    <x v="17"/>
  </r>
  <r>
    <d v="2024-10-31T00:00:00"/>
    <s v="9989011303"/>
    <s v="BRONCO BILLYS HAYWARD"/>
    <n v="1"/>
    <x v="12"/>
  </r>
  <r>
    <d v="2024-10-31T00:00:00"/>
    <s v="9989011303"/>
    <s v="BRONCO BILLYS HAYWARD"/>
    <n v="2"/>
    <x v="8"/>
  </r>
  <r>
    <d v="2024-10-31T00:00:00"/>
    <s v="9989011303"/>
    <s v="BRONCO BILLYS HAYWARD"/>
    <n v="3"/>
    <x v="5"/>
  </r>
  <r>
    <d v="2024-10-31T00:00:00"/>
    <s v="9989011303"/>
    <s v="BRONCO BILLYS HAYWARD"/>
    <n v="2"/>
    <x v="7"/>
  </r>
  <r>
    <d v="2024-10-31T00:00:00"/>
    <s v="9989011304"/>
    <s v="MONROE"/>
    <n v="2"/>
    <x v="14"/>
  </r>
  <r>
    <d v="2024-10-31T00:00:00"/>
    <s v="9989011304"/>
    <s v="MONROE"/>
    <n v="2"/>
    <x v="8"/>
  </r>
  <r>
    <d v="2024-10-31T00:00:00"/>
    <s v="9989011304"/>
    <s v="MONROE"/>
    <n v="1"/>
    <x v="18"/>
  </r>
  <r>
    <d v="2024-10-31T00:00:00"/>
    <s v="9989011304"/>
    <s v="MONROE"/>
    <n v="1"/>
    <x v="28"/>
  </r>
  <r>
    <d v="2024-10-31T00:00:00"/>
    <s v="9989011304"/>
    <s v="MONROE"/>
    <n v="1"/>
    <x v="12"/>
  </r>
  <r>
    <d v="2024-11-01T00:00:00"/>
    <s v="9989011307"/>
    <s v="STARBIRD CHICKEN - CORTE MADERA"/>
    <n v="2"/>
    <x v="15"/>
  </r>
  <r>
    <d v="2024-11-01T00:00:00"/>
    <s v="9989011307"/>
    <s v="STARBIRD CHICKEN - CORTE MADERA"/>
    <n v="2"/>
    <x v="5"/>
  </r>
  <r>
    <d v="2024-11-01T00:00:00"/>
    <s v="9989011307"/>
    <s v="STARBIRD CHICKEN - CORTE MADERA"/>
    <n v="1"/>
    <x v="8"/>
  </r>
  <r>
    <d v="2024-11-01T00:00:00"/>
    <s v="9989011307"/>
    <s v="STARBIRD CHICKEN - CORTE MADERA"/>
    <n v="1"/>
    <x v="17"/>
  </r>
  <r>
    <d v="2024-11-01T00:00:00"/>
    <s v="9989011307"/>
    <s v="STARBIRD CHICKEN - CORTE MADERA"/>
    <n v="1"/>
    <x v="23"/>
  </r>
  <r>
    <d v="2024-11-01T00:00:00"/>
    <s v="9989011307"/>
    <s v="STARBIRD CHICKEN - CORTE MADERA"/>
    <n v="1"/>
    <x v="10"/>
  </r>
  <r>
    <d v="2024-11-01T00:00:00"/>
    <s v="9989011307"/>
    <s v="STARBIRD CHICKEN - CORTE MADERA"/>
    <n v="2"/>
    <x v="1"/>
  </r>
  <r>
    <d v="2024-11-01T00:00:00"/>
    <s v="9989011307"/>
    <s v="STARBIRD CHICKEN - CORTE MADERA"/>
    <n v="1"/>
    <x v="11"/>
  </r>
  <r>
    <d v="2024-11-01T00:00:00"/>
    <s v="9989011307"/>
    <s v="STARBIRD CHICKEN - CORTE MADERA"/>
    <n v="2"/>
    <x v="4"/>
  </r>
  <r>
    <d v="2024-11-01T00:00:00"/>
    <s v="9989011307"/>
    <s v="STARBIRD CHICKEN - CORTE MADERA"/>
    <n v="1"/>
    <x v="3"/>
  </r>
  <r>
    <d v="2024-11-01T00:00:00"/>
    <s v="9989011308"/>
    <s v="THE JUNCTION"/>
    <n v="2"/>
    <x v="7"/>
  </r>
  <r>
    <d v="2024-11-01T00:00:00"/>
    <s v="9989011308"/>
    <s v="THE JUNCTION"/>
    <n v="1"/>
    <x v="12"/>
  </r>
  <r>
    <d v="2024-11-01T00:00:00"/>
    <s v="9989011309"/>
    <s v="STARBIRD CHICKEN - PLEASANTON"/>
    <n v="3"/>
    <x v="8"/>
  </r>
  <r>
    <d v="2024-11-01T00:00:00"/>
    <s v="9989011309"/>
    <s v="STARBIRD CHICKEN - PLEASANTON"/>
    <n v="3"/>
    <x v="15"/>
  </r>
  <r>
    <d v="2024-11-01T00:00:00"/>
    <s v="9989011309"/>
    <s v="STARBIRD CHICKEN - PLEASANTON"/>
    <n v="3"/>
    <x v="17"/>
  </r>
  <r>
    <d v="2024-11-01T00:00:00"/>
    <s v="9989011309"/>
    <s v="STARBIRD CHICKEN - PLEASANTON"/>
    <n v="1"/>
    <x v="12"/>
  </r>
  <r>
    <d v="2024-11-01T00:00:00"/>
    <s v="9989011309"/>
    <s v="STARBIRD CHICKEN - PLEASANTON"/>
    <n v="3"/>
    <x v="10"/>
  </r>
  <r>
    <d v="2024-11-01T00:00:00"/>
    <s v="9989011309"/>
    <s v="STARBIRD CHICKEN - PLEASANTON"/>
    <n v="1"/>
    <x v="23"/>
  </r>
  <r>
    <d v="2024-11-01T00:00:00"/>
    <s v="9989011309"/>
    <s v="STARBIRD CHICKEN - PLEASANTON"/>
    <n v="1"/>
    <x v="1"/>
  </r>
  <r>
    <d v="2024-11-01T00:00:00"/>
    <s v="9989011310"/>
    <s v="JUPITER"/>
    <n v="2"/>
    <x v="26"/>
  </r>
  <r>
    <d v="2024-11-01T00:00:00"/>
    <s v="9989011310"/>
    <s v="JUPITER"/>
    <n v="1"/>
    <x v="13"/>
  </r>
  <r>
    <d v="2024-11-01T00:00:00"/>
    <s v="9989011311"/>
    <s v="TOP DOG #3 LAK"/>
    <n v="2"/>
    <x v="13"/>
  </r>
  <r>
    <d v="2024-11-01T00:00:00"/>
    <s v="9989011311"/>
    <s v="TOP DOG #3 LAK"/>
    <n v="1"/>
    <x v="26"/>
  </r>
  <r>
    <d v="2024-11-01T00:00:00"/>
    <s v="9989011311"/>
    <s v="TOP DOG #3 LAK"/>
    <n v="1"/>
    <x v="27"/>
  </r>
  <r>
    <d v="2024-11-01T00:00:00"/>
    <s v="9989011311"/>
    <s v="TOP DOG #3 LAK"/>
    <n v="2"/>
    <x v="5"/>
  </r>
  <r>
    <d v="2024-11-01T00:00:00"/>
    <s v="9989011311"/>
    <s v="TOP DOG #3 LAK"/>
    <n v="2"/>
    <x v="7"/>
  </r>
  <r>
    <d v="2024-11-01T00:00:00"/>
    <s v="9989011312"/>
    <s v="MCNALLY'S"/>
    <n v="1"/>
    <x v="8"/>
  </r>
  <r>
    <d v="2024-11-01T00:00:00"/>
    <s v="9989011312"/>
    <s v="MCNALLY'S"/>
    <n v="1"/>
    <x v="12"/>
  </r>
  <r>
    <d v="2024-11-01T00:00:00"/>
    <s v="9989011312"/>
    <s v="MCNALLY'S"/>
    <n v="1"/>
    <x v="19"/>
  </r>
  <r>
    <d v="2024-11-01T00:00:00"/>
    <s v="9989011313"/>
    <s v="PROJECT BURGER"/>
    <n v="1"/>
    <x v="4"/>
  </r>
  <r>
    <d v="2024-11-01T00:00:00"/>
    <s v="9989011313"/>
    <s v="PROJECT BURGER"/>
    <n v="1"/>
    <x v="11"/>
  </r>
  <r>
    <d v="2024-11-01T00:00:00"/>
    <s v="9989011313"/>
    <s v="PROJECT BURGER"/>
    <n v="1"/>
    <x v="1"/>
  </r>
  <r>
    <d v="2024-11-01T00:00:00"/>
    <s v="9989011313"/>
    <s v="PROJECT BURGER"/>
    <n v="1"/>
    <x v="3"/>
  </r>
  <r>
    <d v="2024-11-01T00:00:00"/>
    <s v="9989011314"/>
    <s v="ARTHUR MAC'S LITTLE SNACK"/>
    <n v="1"/>
    <x v="8"/>
  </r>
  <r>
    <d v="2024-11-01T00:00:00"/>
    <s v="9989011315"/>
    <s v="THE AVENUE"/>
    <n v="2"/>
    <x v="8"/>
  </r>
  <r>
    <d v="2024-11-01T00:00:00"/>
    <s v="9989011315"/>
    <s v="THE AVENUE"/>
    <n v="1"/>
    <x v="18"/>
  </r>
  <r>
    <d v="2024-11-01T00:00:00"/>
    <s v="9989011316"/>
    <s v="PARK STREET TAVERN"/>
    <n v="1"/>
    <x v="8"/>
  </r>
  <r>
    <d v="2024-11-01T00:00:00"/>
    <s v="9989011316"/>
    <s v="PARK STREET TAVERN"/>
    <n v="1"/>
    <x v="5"/>
  </r>
  <r>
    <d v="2024-11-01T00:00:00"/>
    <s v="9989011316"/>
    <s v="PARK STREET TAVERN"/>
    <n v="1"/>
    <x v="15"/>
  </r>
  <r>
    <d v="2024-11-01T00:00:00"/>
    <s v="9989011316"/>
    <s v="PARK STREET TAVERN"/>
    <n v="1"/>
    <x v="17"/>
  </r>
  <r>
    <d v="2024-11-01T00:00:00"/>
    <s v="9989011316"/>
    <s v="PARK STREET TAVERN"/>
    <n v="1"/>
    <x v="7"/>
  </r>
  <r>
    <d v="2024-11-01T00:00:00"/>
    <s v="9989011316"/>
    <s v="PARK STREET TAVERN"/>
    <n v="1"/>
    <x v="10"/>
  </r>
  <r>
    <d v="2024-11-01T00:00:00"/>
    <s v="9989011317"/>
    <s v="BALLENA BAY YACHT CLUB"/>
    <n v="1"/>
    <x v="15"/>
  </r>
  <r>
    <d v="2024-11-01T00:00:00"/>
    <s v="9989011317"/>
    <s v="BALLENA BAY YACHT CLUB"/>
    <n v="1"/>
    <x v="19"/>
  </r>
  <r>
    <d v="2024-11-01T00:00:00"/>
    <s v="9989011317"/>
    <s v="BALLENA BAY YACHT CLUB"/>
    <n v="1"/>
    <x v="18"/>
  </r>
  <r>
    <d v="2024-11-01T00:00:00"/>
    <s v="9989011318"/>
    <s v="CRYBABY"/>
    <n v="1"/>
    <x v="28"/>
  </r>
  <r>
    <d v="2024-11-01T00:00:00"/>
    <s v="9989011318"/>
    <s v="CRYBABY"/>
    <n v="1"/>
    <x v="8"/>
  </r>
  <r>
    <d v="2024-11-01T00:00:00"/>
    <s v="9989011318"/>
    <s v="CRYBABY"/>
    <n v="1"/>
    <x v="12"/>
  </r>
  <r>
    <d v="2024-11-04T00:00:00"/>
    <s v="9989011320"/>
    <s v="THE MELT (FOLSOM)"/>
    <n v="2"/>
    <x v="16"/>
  </r>
  <r>
    <d v="2024-11-04T00:00:00"/>
    <s v="9989011320"/>
    <s v="THE MELT (FOLSOM)"/>
    <n v="2"/>
    <x v="8"/>
  </r>
  <r>
    <d v="2024-11-04T00:00:00"/>
    <s v="9989011320"/>
    <s v="THE MELT (FOLSOM)"/>
    <n v="1"/>
    <x v="10"/>
  </r>
  <r>
    <d v="2024-11-04T00:00:00"/>
    <s v="9989011320"/>
    <s v="THE MELT (FOLSOM)"/>
    <n v="2"/>
    <x v="12"/>
  </r>
  <r>
    <d v="2024-11-04T00:00:00"/>
    <s v="9989011320"/>
    <s v="THE MELT (FOLSOM)"/>
    <n v="1"/>
    <x v="9"/>
  </r>
  <r>
    <d v="2024-11-04T00:00:00"/>
    <s v="9989011320"/>
    <s v="THE MELT (FOLSOM)"/>
    <n v="2"/>
    <x v="5"/>
  </r>
  <r>
    <d v="2024-11-04T00:00:00"/>
    <s v="9989011322"/>
    <s v="TOWN BAR &amp; LOUNGE"/>
    <n v="1"/>
    <x v="8"/>
  </r>
  <r>
    <d v="2024-11-04T00:00:00"/>
    <s v="9989011322"/>
    <s v="TOWN BAR &amp; LOUNGE"/>
    <n v="1"/>
    <x v="15"/>
  </r>
  <r>
    <d v="2024-11-04T00:00:00"/>
    <s v="9989011322"/>
    <s v="TOWN BAR &amp; LOUNGE"/>
    <n v="2"/>
    <x v="10"/>
  </r>
  <r>
    <d v="2024-11-04T00:00:00"/>
    <s v="9989011322"/>
    <s v="TOWN BAR &amp; LOUNGE"/>
    <n v="1"/>
    <x v="14"/>
  </r>
  <r>
    <d v="2024-11-04T00:00:00"/>
    <s v="9989011419"/>
    <s v="THE MELT (SACRAMENTO-BLVD)"/>
    <n v="3"/>
    <x v="16"/>
  </r>
  <r>
    <d v="2024-11-04T00:00:00"/>
    <s v="9989011419"/>
    <s v="THE MELT (SACRAMENTO-BLVD)"/>
    <n v="3"/>
    <x v="5"/>
  </r>
  <r>
    <d v="2024-11-04T00:00:00"/>
    <s v="9989011419"/>
    <s v="THE MELT (SACRAMENTO-BLVD)"/>
    <n v="2"/>
    <x v="8"/>
  </r>
  <r>
    <d v="2024-11-04T00:00:00"/>
    <s v="9989011419"/>
    <s v="THE MELT (SACRAMENTO-BLVD)"/>
    <n v="2"/>
    <x v="15"/>
  </r>
  <r>
    <d v="2024-11-04T00:00:00"/>
    <s v="9989011419"/>
    <s v="THE MELT (SACRAMENTO-BLVD)"/>
    <n v="2"/>
    <x v="12"/>
  </r>
  <r>
    <d v="2024-11-04T00:00:00"/>
    <s v="9989011419"/>
    <s v="THE MELT (SACRAMENTO-BLVD)"/>
    <n v="2"/>
    <x v="9"/>
  </r>
  <r>
    <d v="2024-11-04T00:00:00"/>
    <s v="9989011419"/>
    <s v="THE MELT (SACRAMENTO-BLVD)"/>
    <n v="1"/>
    <x v="10"/>
  </r>
  <r>
    <d v="2024-11-05T00:00:00"/>
    <s v="9989011420"/>
    <s v="THE MELT (455 MARKET)"/>
    <n v="2"/>
    <x v="8"/>
  </r>
  <r>
    <d v="2024-11-05T00:00:00"/>
    <s v="9989011420"/>
    <s v="THE MELT (455 MARKET)"/>
    <n v="2"/>
    <x v="5"/>
  </r>
  <r>
    <d v="2024-11-05T00:00:00"/>
    <s v="9989011420"/>
    <s v="THE MELT (455 MARKET)"/>
    <n v="1"/>
    <x v="9"/>
  </r>
  <r>
    <d v="2024-11-05T00:00:00"/>
    <s v="9989011420"/>
    <s v="THE MELT (455 MARKET)"/>
    <n v="1"/>
    <x v="12"/>
  </r>
  <r>
    <d v="2024-11-05T00:00:00"/>
    <s v="9989011421"/>
    <s v="PIXAR ANIMATION STUDIOS"/>
    <n v="4"/>
    <x v="7"/>
  </r>
  <r>
    <d v="2024-11-05T00:00:00"/>
    <s v="9989011423"/>
    <s v="THE DEAD FISH"/>
    <n v="1"/>
    <x v="24"/>
  </r>
  <r>
    <d v="2024-11-05T00:00:00"/>
    <s v="9989011423"/>
    <s v="THE DEAD FISH"/>
    <n v="1"/>
    <x v="7"/>
  </r>
  <r>
    <d v="2024-11-05T00:00:00"/>
    <s v="9989011424"/>
    <s v="DS GIANT BURGERS"/>
    <n v="2"/>
    <x v="8"/>
  </r>
  <r>
    <d v="2024-11-05T00:00:00"/>
    <s v="9989011424"/>
    <s v="DS GIANT BURGERS"/>
    <n v="1"/>
    <x v="12"/>
  </r>
  <r>
    <d v="2024-11-05T00:00:00"/>
    <s v="9989011424"/>
    <s v="DS GIANT BURGERS"/>
    <n v="1"/>
    <x v="9"/>
  </r>
  <r>
    <d v="2024-11-05T00:00:00"/>
    <s v="9989011425"/>
    <s v="BAYSIDE COFFEE SHOP"/>
    <n v="2"/>
    <x v="8"/>
  </r>
  <r>
    <d v="2024-11-05T00:00:00"/>
    <s v="9989011425"/>
    <s v="BAYSIDE COFFEE SHOP"/>
    <n v="1"/>
    <x v="7"/>
  </r>
  <r>
    <d v="2024-11-05T00:00:00"/>
    <s v="9989011425"/>
    <s v="BAYSIDE COFFEE SHOP"/>
    <n v="1"/>
    <x v="12"/>
  </r>
  <r>
    <d v="2024-11-05T00:00:00"/>
    <s v="9989011425"/>
    <s v="BAYSIDE COFFEE SHOP"/>
    <n v="1"/>
    <x v="9"/>
  </r>
  <r>
    <d v="2024-11-05T00:00:00"/>
    <s v="9989011426"/>
    <s v="BARNEY MC BEARS LLC"/>
    <n v="1"/>
    <x v="8"/>
  </r>
  <r>
    <d v="2024-11-05T00:00:00"/>
    <s v="9989011426"/>
    <s v="BARNEY MC BEARS LLC"/>
    <n v="1"/>
    <x v="15"/>
  </r>
  <r>
    <d v="2024-11-05T00:00:00"/>
    <s v="9989011426"/>
    <s v="BARNEY MC BEARS LLC"/>
    <n v="1"/>
    <x v="14"/>
  </r>
  <r>
    <d v="2024-11-05T00:00:00"/>
    <s v="9989011426"/>
    <s v="BARNEY MC BEARS LLC"/>
    <n v="1"/>
    <x v="21"/>
  </r>
  <r>
    <d v="2024-11-05T00:00:00"/>
    <s v="9989011427"/>
    <s v="CLUB MALIBU"/>
    <n v="1"/>
    <x v="8"/>
  </r>
  <r>
    <d v="2024-11-05T00:00:00"/>
    <s v="9989011427"/>
    <s v="CLUB MALIBU"/>
    <n v="2"/>
    <x v="28"/>
  </r>
  <r>
    <d v="2024-11-05T00:00:00"/>
    <s v="9989011428"/>
    <s v="TRIPLE ROCK BREWING COMPANY"/>
    <n v="1"/>
    <x v="29"/>
  </r>
  <r>
    <d v="2024-11-05T00:00:00"/>
    <s v="9989011428"/>
    <s v="TRIPLE ROCK BREWING COMPANY"/>
    <n v="1"/>
    <x v="15"/>
  </r>
  <r>
    <d v="2024-11-05T00:00:00"/>
    <s v="9989011429"/>
    <s v="GATHER"/>
    <n v="3"/>
    <x v="11"/>
  </r>
  <r>
    <d v="2024-11-05T00:00:00"/>
    <s v="9989011429"/>
    <s v="GATHER"/>
    <n v="3"/>
    <x v="1"/>
  </r>
  <r>
    <d v="2024-11-05T00:00:00"/>
    <s v="9989011430"/>
    <s v="JUPITER"/>
    <n v="1"/>
    <x v="26"/>
  </r>
  <r>
    <d v="2024-11-05T00:00:00"/>
    <s v="9989011430"/>
    <s v="JUPITER"/>
    <n v="1"/>
    <x v="13"/>
  </r>
  <r>
    <d v="2024-11-05T00:00:00"/>
    <s v="9989011431"/>
    <s v="BALBOA THEATER"/>
    <n v="1"/>
    <x v="13"/>
  </r>
  <r>
    <d v="2024-11-05T00:00:00"/>
    <s v="9989011431"/>
    <s v="BALBOA THEATER"/>
    <n v="1"/>
    <x v="26"/>
  </r>
  <r>
    <d v="2024-11-05T00:00:00"/>
    <s v="9989011431"/>
    <s v="BALBOA THEATER"/>
    <n v="1"/>
    <x v="8"/>
  </r>
  <r>
    <d v="2024-11-05T00:00:00"/>
    <s v="9989011431"/>
    <s v="BALBOA THEATER"/>
    <n v="2"/>
    <x v="15"/>
  </r>
  <r>
    <d v="2024-11-05T00:00:00"/>
    <s v="9989011431"/>
    <s v="BALBOA THEATER"/>
    <n v="1"/>
    <x v="5"/>
  </r>
  <r>
    <d v="2024-11-05T00:00:00"/>
    <s v="9989011431"/>
    <s v="BALBOA THEATER"/>
    <n v="1"/>
    <x v="12"/>
  </r>
  <r>
    <d v="2024-11-05T00:00:00"/>
    <s v="9989011431"/>
    <s v="BALBOA THEATER"/>
    <n v="1"/>
    <x v="8"/>
  </r>
  <r>
    <d v="2024-11-05T00:00:00"/>
    <s v="9989011432"/>
    <s v="UC THEATER BERKELEY"/>
    <n v="3"/>
    <x v="8"/>
  </r>
  <r>
    <d v="2024-11-05T00:00:00"/>
    <s v="9989011432"/>
    <s v="UC THEATER BERKELEY"/>
    <n v="3"/>
    <x v="12"/>
  </r>
  <r>
    <d v="2024-11-05T00:00:00"/>
    <s v="9989011432"/>
    <s v="UC THEATER BERKELEY"/>
    <n v="2"/>
    <x v="19"/>
  </r>
  <r>
    <d v="2024-11-05T00:00:00"/>
    <s v="9989011432"/>
    <s v="UC THEATER BERKELEY"/>
    <n v="2"/>
    <x v="14"/>
  </r>
  <r>
    <d v="2024-11-05T00:00:00"/>
    <s v="9989011433"/>
    <s v="STARBIRD CHICKEN - HERMOSA BEACH"/>
    <n v="1"/>
    <x v="17"/>
  </r>
  <r>
    <d v="2024-11-05T00:00:00"/>
    <s v="9989011433"/>
    <s v="STARBIRD CHICKEN - HERMOSA BEACH"/>
    <n v="1"/>
    <x v="15"/>
  </r>
  <r>
    <d v="2024-11-05T00:00:00"/>
    <s v="9989011433"/>
    <s v="STARBIRD CHICKEN - HERMOSA BEACH"/>
    <n v="1"/>
    <x v="8"/>
  </r>
  <r>
    <d v="2024-11-05T00:00:00"/>
    <s v="9989011433"/>
    <s v="STARBIRD CHICKEN - HERMOSA BEACH"/>
    <n v="1"/>
    <x v="5"/>
  </r>
  <r>
    <d v="2024-11-05T00:00:00"/>
    <s v="9989011433"/>
    <s v="STARBIRD CHICKEN - HERMOSA BEACH"/>
    <n v="1"/>
    <x v="12"/>
  </r>
  <r>
    <d v="2024-11-05T00:00:00"/>
    <s v="9989011433"/>
    <s v="STARBIRD CHICKEN - HERMOSA BEACH"/>
    <n v="1"/>
    <x v="3"/>
  </r>
  <r>
    <d v="2024-11-05T00:00:00"/>
    <s v="9989011433"/>
    <s v="STARBIRD CHICKEN - HERMOSA BEACH"/>
    <n v="1"/>
    <x v="1"/>
  </r>
  <r>
    <d v="2024-11-05T00:00:00"/>
    <s v="9989011434"/>
    <s v="STARBIRD CHICKEN - MARINA DEL REY"/>
    <n v="1"/>
    <x v="23"/>
  </r>
  <r>
    <d v="2024-11-05T00:00:00"/>
    <s v="9989011434"/>
    <s v="STARBIRD CHICKEN - MARINA DEL REY"/>
    <n v="1"/>
    <x v="10"/>
  </r>
  <r>
    <d v="2024-11-05T00:00:00"/>
    <s v="9989011434"/>
    <s v="STARBIRD CHICKEN - MARINA DEL REY"/>
    <n v="1"/>
    <x v="1"/>
  </r>
  <r>
    <d v="2024-11-05T00:00:00"/>
    <s v="9989011434"/>
    <s v="STARBIRD CHICKEN - MARINA DEL REY"/>
    <n v="1"/>
    <x v="4"/>
  </r>
  <r>
    <d v="2024-11-06T00:00:00"/>
    <s v="9989011437"/>
    <s v="HOMETOWN BOWL"/>
    <n v="2"/>
    <x v="8"/>
  </r>
  <r>
    <d v="2024-11-06T00:00:00"/>
    <s v="9989011437"/>
    <s v="HOMETOWN BOWL"/>
    <n v="2"/>
    <x v="12"/>
  </r>
  <r>
    <d v="2024-11-06T00:00:00"/>
    <s v="9989011437"/>
    <s v="HOMETOWN BOWL"/>
    <n v="1"/>
    <x v="9"/>
  </r>
  <r>
    <d v="2024-11-06T00:00:00"/>
    <s v="9989011438"/>
    <s v="THE MELT (IRVINE SPECTRUM)"/>
    <n v="3"/>
    <x v="16"/>
  </r>
  <r>
    <d v="2024-11-06T00:00:00"/>
    <s v="9989011438"/>
    <s v="THE MELT (IRVINE SPECTRUM)"/>
    <n v="4"/>
    <x v="8"/>
  </r>
  <r>
    <d v="2024-11-06T00:00:00"/>
    <s v="9989011438"/>
    <s v="THE MELT (IRVINE SPECTRUM)"/>
    <n v="4"/>
    <x v="15"/>
  </r>
  <r>
    <d v="2024-11-06T00:00:00"/>
    <s v="9989011438"/>
    <s v="THE MELT (IRVINE SPECTRUM)"/>
    <n v="1"/>
    <x v="12"/>
  </r>
  <r>
    <d v="2024-11-06T00:00:00"/>
    <s v="9989011438"/>
    <s v="THE MELT (IRVINE SPECTRUM)"/>
    <n v="2"/>
    <x v="9"/>
  </r>
  <r>
    <d v="2024-11-06T00:00:00"/>
    <s v="9989011438"/>
    <s v="THE MELT (IRVINE SPECTRUM)"/>
    <n v="2"/>
    <x v="5"/>
  </r>
  <r>
    <d v="2024-11-06T00:00:00"/>
    <s v="9989011439"/>
    <s v="STARBIRD CHICKEN - FOSTER CITY"/>
    <n v="1"/>
    <x v="8"/>
  </r>
  <r>
    <d v="2024-11-06T00:00:00"/>
    <s v="9989011439"/>
    <s v="STARBIRD CHICKEN - FOSTER CITY"/>
    <n v="1"/>
    <x v="15"/>
  </r>
  <r>
    <d v="2024-11-06T00:00:00"/>
    <s v="9989011439"/>
    <s v="STARBIRD CHICKEN - FOSTER CITY"/>
    <n v="1"/>
    <x v="5"/>
  </r>
  <r>
    <d v="2024-11-06T00:00:00"/>
    <s v="9989011439"/>
    <s v="STARBIRD CHICKEN - FOSTER CITY"/>
    <n v="2"/>
    <x v="17"/>
  </r>
  <r>
    <d v="2024-11-06T00:00:00"/>
    <s v="9989011439"/>
    <s v="STARBIRD CHICKEN - FOSTER CITY"/>
    <n v="1"/>
    <x v="11"/>
  </r>
  <r>
    <d v="2024-11-06T00:00:00"/>
    <s v="9989011439"/>
    <s v="STARBIRD CHICKEN - FOSTER CITY"/>
    <n v="1"/>
    <x v="1"/>
  </r>
  <r>
    <d v="2024-11-06T00:00:00"/>
    <s v="9989011439"/>
    <s v="STARBIRD CHICKEN - FOSTER CITY"/>
    <n v="1"/>
    <x v="4"/>
  </r>
  <r>
    <d v="2024-11-06T00:00:00"/>
    <s v="9989011440"/>
    <s v="JUANS PLACE"/>
    <n v="1"/>
    <x v="13"/>
  </r>
  <r>
    <d v="2024-11-06T00:00:00"/>
    <s v="9989011440"/>
    <s v="JUANS PLACE"/>
    <n v="1"/>
    <x v="27"/>
  </r>
  <r>
    <d v="2024-11-06T00:00:00"/>
    <s v="9989011440"/>
    <s v="JUANS PLACE"/>
    <n v="1"/>
    <x v="5"/>
  </r>
  <r>
    <d v="2024-11-06T00:00:00"/>
    <s v="9989011441"/>
    <s v="STARBIRD CHICKEN - PLEASANTON"/>
    <n v="3"/>
    <x v="5"/>
  </r>
  <r>
    <d v="2024-11-06T00:00:00"/>
    <s v="9989011441"/>
    <s v="STARBIRD CHICKEN - PLEASANTON"/>
    <n v="2"/>
    <x v="8"/>
  </r>
  <r>
    <d v="2024-11-06T00:00:00"/>
    <s v="9989011441"/>
    <s v="STARBIRD CHICKEN - PLEASANTON"/>
    <n v="2"/>
    <x v="15"/>
  </r>
  <r>
    <d v="2024-11-06T00:00:00"/>
    <s v="9989011441"/>
    <s v="STARBIRD CHICKEN - PLEASANTON"/>
    <n v="1"/>
    <x v="12"/>
  </r>
  <r>
    <d v="2024-11-06T00:00:00"/>
    <s v="9989011441"/>
    <s v="STARBIRD CHICKEN - PLEASANTON"/>
    <n v="3"/>
    <x v="10"/>
  </r>
  <r>
    <d v="2024-11-06T00:00:00"/>
    <s v="9989011443"/>
    <s v="STARBIRD CHICKEN - PALO ALTO"/>
    <n v="5"/>
    <x v="15"/>
  </r>
  <r>
    <d v="2024-11-06T00:00:00"/>
    <s v="9989011443"/>
    <s v="STARBIRD CHICKEN - PALO ALTO"/>
    <n v="5"/>
    <x v="8"/>
  </r>
  <r>
    <d v="2024-11-06T00:00:00"/>
    <s v="9989011443"/>
    <s v="STARBIRD CHICKEN - PALO ALTO"/>
    <n v="5"/>
    <x v="5"/>
  </r>
  <r>
    <d v="2024-11-06T00:00:00"/>
    <s v="9989011443"/>
    <s v="STARBIRD CHICKEN - PALO ALTO"/>
    <n v="2"/>
    <x v="12"/>
  </r>
  <r>
    <d v="2024-11-06T00:00:00"/>
    <s v="9989011443"/>
    <s v="STARBIRD CHICKEN - PALO ALTO"/>
    <n v="4"/>
    <x v="23"/>
  </r>
  <r>
    <d v="2024-11-06T00:00:00"/>
    <s v="9989011443"/>
    <s v="STARBIRD CHICKEN - PALO ALTO"/>
    <n v="5"/>
    <x v="10"/>
  </r>
  <r>
    <d v="2024-11-06T00:00:00"/>
    <s v="9989011443"/>
    <s v="STARBIRD CHICKEN - PALO ALTO"/>
    <n v="5"/>
    <x v="17"/>
  </r>
  <r>
    <d v="2024-11-06T00:00:00"/>
    <s v="9989011443"/>
    <s v="STARBIRD CHICKEN - PALO ALTO"/>
    <n v="4"/>
    <x v="11"/>
  </r>
  <r>
    <d v="2024-11-06T00:00:00"/>
    <s v="9989011443"/>
    <s v="STARBIRD CHICKEN - PALO ALTO"/>
    <n v="4"/>
    <x v="1"/>
  </r>
  <r>
    <d v="2024-11-06T00:00:00"/>
    <s v="9989011443"/>
    <s v="STARBIRD CHICKEN - PALO ALTO"/>
    <n v="4"/>
    <x v="4"/>
  </r>
  <r>
    <d v="2024-11-06T00:00:00"/>
    <s v="9989011444"/>
    <s v="BRIX BEVERAGE - SAMPLING"/>
    <n v="1"/>
    <x v="1"/>
  </r>
  <r>
    <d v="2024-11-06T00:00:00"/>
    <s v="9989011445"/>
    <s v="THE MELT (STANFORD)"/>
    <n v="4"/>
    <x v="8"/>
  </r>
  <r>
    <d v="2024-11-06T00:00:00"/>
    <s v="9989011445"/>
    <s v="THE MELT (STANFORD)"/>
    <n v="3"/>
    <x v="15"/>
  </r>
  <r>
    <d v="2024-11-06T00:00:00"/>
    <s v="9989011445"/>
    <s v="THE MELT (STANFORD)"/>
    <n v="2"/>
    <x v="12"/>
  </r>
  <r>
    <d v="2024-11-06T00:00:00"/>
    <s v="9989011445"/>
    <s v="THE MELT (STANFORD)"/>
    <n v="3"/>
    <x v="5"/>
  </r>
  <r>
    <d v="2024-11-06T00:00:00"/>
    <s v="9989011445"/>
    <s v="THE MELT (STANFORD)"/>
    <n v="2"/>
    <x v="9"/>
  </r>
  <r>
    <d v="2024-11-06T00:00:00"/>
    <s v="9989011445"/>
    <s v="THE MELT (STANFORD)"/>
    <n v="2"/>
    <x v="10"/>
  </r>
  <r>
    <d v="2024-11-06T00:00:00"/>
    <s v="9989011446"/>
    <s v="A SLICE OF NEW YORK 2"/>
    <n v="2"/>
    <x v="15"/>
  </r>
  <r>
    <d v="2024-11-06T00:00:00"/>
    <s v="9989011446"/>
    <s v="A SLICE OF NEW YORK 2"/>
    <n v="1"/>
    <x v="9"/>
  </r>
  <r>
    <d v="2024-11-06T00:00:00"/>
    <s v="9989011446"/>
    <s v="A SLICE OF NEW YORK 2"/>
    <n v="1"/>
    <x v="7"/>
  </r>
  <r>
    <d v="2024-11-06T00:00:00"/>
    <s v="9989011446"/>
    <s v="A SLICE OF NEW YORK 2"/>
    <n v="1"/>
    <x v="12"/>
  </r>
  <r>
    <d v="2024-11-06T00:00:00"/>
    <s v="9989011446"/>
    <s v="A SLICE OF NEW YORK 2"/>
    <n v="1"/>
    <x v="5"/>
  </r>
  <r>
    <d v="2024-11-06T00:00:00"/>
    <s v="9989011447"/>
    <s v="CALI KID BURGERS AND SHAKES"/>
    <n v="1"/>
    <x v="17"/>
  </r>
  <r>
    <d v="2024-11-06T00:00:00"/>
    <s v="9989011447"/>
    <s v="CALI KID BURGERS AND SHAKES"/>
    <n v="1"/>
    <x v="6"/>
  </r>
  <r>
    <d v="2024-11-06T00:00:00"/>
    <s v="9989011447"/>
    <s v="CALI KID BURGERS AND SHAKES"/>
    <n v="1"/>
    <x v="9"/>
  </r>
  <r>
    <d v="2024-11-06T00:00:00"/>
    <s v="9989011447"/>
    <s v="CALI KID BURGERS AND SHAKES"/>
    <n v="1"/>
    <x v="12"/>
  </r>
  <r>
    <d v="2024-11-06T00:00:00"/>
    <s v="9989011447"/>
    <s v="CALI KID BURGERS AND SHAKES"/>
    <n v="1"/>
    <x v="15"/>
  </r>
  <r>
    <d v="2024-11-06T00:00:00"/>
    <s v="9989011447"/>
    <s v="CALI KID BURGERS AND SHAKES"/>
    <n v="1"/>
    <x v="8"/>
  </r>
  <r>
    <d v="2024-11-06T00:00:00"/>
    <s v="9989011448"/>
    <s v="LIVERMORE CASINO"/>
    <n v="1"/>
    <x v="19"/>
  </r>
  <r>
    <d v="2024-11-06T00:00:00"/>
    <s v="9989011448"/>
    <s v="LIVERMORE CASINO"/>
    <n v="1"/>
    <x v="12"/>
  </r>
  <r>
    <d v="2024-11-06T00:00:00"/>
    <s v="9989011448"/>
    <s v="LIVERMORE CASINO"/>
    <n v="1"/>
    <x v="26"/>
  </r>
  <r>
    <d v="2024-11-06T00:00:00"/>
    <s v="9989011449"/>
    <s v="LUNA LOCA (JAINS FOODS)"/>
    <n v="2"/>
    <x v="15"/>
  </r>
  <r>
    <d v="2024-11-06T00:00:00"/>
    <s v="9989011449"/>
    <s v="LUNA LOCA (JAINS FOODS)"/>
    <n v="1"/>
    <x v="8"/>
  </r>
  <r>
    <d v="2024-11-06T00:00:00"/>
    <s v="9989011450"/>
    <s v="THE MELT (DANVILLE)"/>
    <n v="1"/>
    <x v="16"/>
  </r>
  <r>
    <d v="2024-11-06T00:00:00"/>
    <s v="9989011450"/>
    <s v="THE MELT (DANVILLE)"/>
    <n v="1"/>
    <x v="15"/>
  </r>
  <r>
    <d v="2024-11-06T00:00:00"/>
    <s v="9989011450"/>
    <s v="THE MELT (DANVILLE)"/>
    <n v="1"/>
    <x v="9"/>
  </r>
  <r>
    <d v="2024-11-06T00:00:00"/>
    <s v="9989011451"/>
    <s v="PANCOAST PIZZA"/>
    <n v="1"/>
    <x v="15"/>
  </r>
  <r>
    <d v="2024-11-06T00:00:00"/>
    <s v="9989011451"/>
    <s v="PANCOAST PIZZA"/>
    <n v="1"/>
    <x v="8"/>
  </r>
  <r>
    <d v="2024-11-06T00:00:00"/>
    <s v="9989011451"/>
    <s v="PANCOAST PIZZA"/>
    <n v="1"/>
    <x v="17"/>
  </r>
  <r>
    <d v="2024-11-06T00:00:00"/>
    <s v="9989011451"/>
    <s v="PANCOAST PIZZA"/>
    <n v="1"/>
    <x v="9"/>
  </r>
  <r>
    <d v="2024-11-06T00:00:00"/>
    <s v="9989011451"/>
    <s v="PANCOAST PIZZA"/>
    <n v="1"/>
    <x v="5"/>
  </r>
  <r>
    <d v="2024-11-06T00:00:00"/>
    <s v="9989011451"/>
    <s v="PANCOAST PIZZA"/>
    <n v="1"/>
    <x v="16"/>
  </r>
  <r>
    <d v="2024-11-06T00:00:00"/>
    <s v="9989011452"/>
    <s v="STARBIRD CHICKEN - WALNUT CREEK"/>
    <n v="2"/>
    <x v="8"/>
  </r>
  <r>
    <d v="2024-11-06T00:00:00"/>
    <s v="9989011452"/>
    <s v="STARBIRD CHICKEN - WALNUT CREEK"/>
    <n v="1"/>
    <x v="15"/>
  </r>
  <r>
    <d v="2024-11-06T00:00:00"/>
    <s v="9989011452"/>
    <s v="STARBIRD CHICKEN - WALNUT CREEK"/>
    <n v="3"/>
    <x v="10"/>
  </r>
  <r>
    <d v="2024-11-06T00:00:00"/>
    <s v="9989011452"/>
    <s v="STARBIRD CHICKEN - WALNUT CREEK"/>
    <n v="2"/>
    <x v="5"/>
  </r>
  <r>
    <d v="2024-11-06T00:00:00"/>
    <s v="9989011452"/>
    <s v="STARBIRD CHICKEN - WALNUT CREEK"/>
    <n v="2"/>
    <x v="17"/>
  </r>
  <r>
    <d v="2024-11-06T00:00:00"/>
    <s v="9989011452"/>
    <s v="STARBIRD CHICKEN - WALNUT CREEK"/>
    <n v="1"/>
    <x v="1"/>
  </r>
  <r>
    <d v="2024-11-06T00:00:00"/>
    <s v="9989011452"/>
    <s v="STARBIRD CHICKEN - WALNUT CREEK"/>
    <n v="1"/>
    <x v="11"/>
  </r>
  <r>
    <d v="2024-11-06T00:00:00"/>
    <s v="9989011452"/>
    <s v="STARBIRD CHICKEN - WALNUT CREEK"/>
    <n v="1"/>
    <x v="3"/>
  </r>
  <r>
    <d v="2024-11-06T00:00:00"/>
    <s v="9989011453"/>
    <s v="HEADLANDS BREWING - WALNUT CREEK"/>
    <n v="1"/>
    <x v="15"/>
  </r>
  <r>
    <d v="2024-11-06T00:00:00"/>
    <s v="9989011453"/>
    <s v="HEADLANDS BREWING - WALNUT CREEK"/>
    <n v="1"/>
    <x v="8"/>
  </r>
  <r>
    <d v="2024-11-06T00:00:00"/>
    <s v="9989011453"/>
    <s v="HEADLANDS BREWING - WALNUT CREEK"/>
    <n v="1"/>
    <x v="12"/>
  </r>
  <r>
    <d v="2024-11-06T00:00:00"/>
    <s v="9989011453"/>
    <s v="HEADLANDS BREWING - WALNUT CREEK"/>
    <n v="1"/>
    <x v="5"/>
  </r>
  <r>
    <d v="2024-11-06T00:00:00"/>
    <s v="9989011453"/>
    <s v="HEADLANDS BREWING - WALNUT CREEK"/>
    <n v="1"/>
    <x v="10"/>
  </r>
  <r>
    <d v="2024-11-06T00:00:00"/>
    <s v="9989011454"/>
    <s v="DELTA CINEMAS"/>
    <n v="2"/>
    <x v="13"/>
  </r>
  <r>
    <d v="2024-11-06T00:00:00"/>
    <s v="9989011454"/>
    <s v="DELTA CINEMAS"/>
    <n v="1"/>
    <x v="26"/>
  </r>
  <r>
    <d v="2024-11-06T00:00:00"/>
    <s v="9989011454"/>
    <s v="DELTA CINEMAS"/>
    <n v="1"/>
    <x v="5"/>
  </r>
  <r>
    <d v="2024-11-06T00:00:00"/>
    <s v="9989011454"/>
    <s v="DELTA CINEMAS"/>
    <n v="1"/>
    <x v="16"/>
  </r>
  <r>
    <d v="2024-11-07T00:00:00"/>
    <s v="9989011456"/>
    <s v="VICTORY HALL-LITTLE SKILLET"/>
    <n v="1"/>
    <x v="12"/>
  </r>
  <r>
    <d v="2024-11-07T00:00:00"/>
    <s v="9989011456"/>
    <s v="VICTORY HALL-LITTLE SKILLET"/>
    <n v="1"/>
    <x v="8"/>
  </r>
  <r>
    <d v="2024-11-07T00:00:00"/>
    <s v="9989011456"/>
    <s v="VICTORY HALL-LITTLE SKILLET"/>
    <n v="1"/>
    <x v="15"/>
  </r>
  <r>
    <d v="2024-11-07T00:00:00"/>
    <s v="9989011456"/>
    <s v="VICTORY HALL-LITTLE SKILLET"/>
    <n v="1"/>
    <x v="10"/>
  </r>
  <r>
    <d v="2024-11-07T00:00:00"/>
    <s v="9989011457"/>
    <s v="STARBIRD - TASTES ON THE FLY SF"/>
    <n v="3"/>
    <x v="8"/>
  </r>
  <r>
    <d v="2024-11-07T00:00:00"/>
    <s v="9989011457"/>
    <s v="STARBIRD - TASTES ON THE FLY SF"/>
    <n v="4"/>
    <x v="15"/>
  </r>
  <r>
    <d v="2024-11-07T00:00:00"/>
    <s v="9989011457"/>
    <s v="STARBIRD - TASTES ON THE FLY SF"/>
    <n v="3"/>
    <x v="5"/>
  </r>
  <r>
    <d v="2024-11-07T00:00:00"/>
    <s v="9989011458"/>
    <s v="SLICE HOUSE"/>
    <n v="1"/>
    <x v="5"/>
  </r>
  <r>
    <d v="2024-11-07T00:00:00"/>
    <s v="9989011458"/>
    <s v="SLICE HOUSE"/>
    <n v="1"/>
    <x v="9"/>
  </r>
  <r>
    <d v="2024-11-07T00:00:00"/>
    <s v="9989011459"/>
    <s v="TEQUILA SHOTS BAR AND GRILL"/>
    <n v="1"/>
    <x v="27"/>
  </r>
  <r>
    <d v="2024-11-07T00:00:00"/>
    <s v="9989011460"/>
    <s v="MIAMI BEACH CLUB (GIANT III ENTERTAINMENT LLC)"/>
    <n v="2"/>
    <x v="22"/>
  </r>
  <r>
    <d v="2024-11-07T00:00:00"/>
    <s v="9989011460"/>
    <s v="MIAMI BEACH CLUB (GIANT III ENTERTAINMENT LLC)"/>
    <n v="2"/>
    <x v="28"/>
  </r>
  <r>
    <d v="2024-11-07T00:00:00"/>
    <s v="9989011460"/>
    <s v="MIAMI BEACH CLUB (GIANT III ENTERTAINMENT LLC)"/>
    <n v="2"/>
    <x v="14"/>
  </r>
  <r>
    <d v="2024-11-07T00:00:00"/>
    <s v="9989011460"/>
    <s v="MIAMI BEACH CLUB (GIANT III ENTERTAINMENT LLC)"/>
    <n v="1"/>
    <x v="21"/>
  </r>
  <r>
    <d v="2024-11-07T00:00:00"/>
    <s v="9989011460"/>
    <s v="MIAMI BEACH CLUB (GIANT III ENTERTAINMENT LLC)"/>
    <n v="1"/>
    <x v="12"/>
  </r>
  <r>
    <d v="2024-11-07T00:00:00"/>
    <s v="9989011461"/>
    <s v="STARBIRD CHICKEN - SAN JOSE"/>
    <n v="1"/>
    <x v="8"/>
  </r>
  <r>
    <d v="2024-11-07T00:00:00"/>
    <s v="9989011461"/>
    <s v="STARBIRD CHICKEN - SAN JOSE"/>
    <n v="1"/>
    <x v="5"/>
  </r>
  <r>
    <d v="2024-11-07T00:00:00"/>
    <s v="9989011461"/>
    <s v="STARBIRD CHICKEN - SAN JOSE"/>
    <n v="1"/>
    <x v="17"/>
  </r>
  <r>
    <d v="2024-11-07T00:00:00"/>
    <s v="9989011461"/>
    <s v="STARBIRD CHICKEN - SAN JOSE"/>
    <n v="1"/>
    <x v="10"/>
  </r>
  <r>
    <d v="2024-11-07T00:00:00"/>
    <s v="9989011461"/>
    <s v="STARBIRD CHICKEN - SAN JOSE"/>
    <n v="1"/>
    <x v="1"/>
  </r>
  <r>
    <d v="2024-11-07T00:00:00"/>
    <s v="9989011462"/>
    <s v="THE MELT (LA JOLLA)"/>
    <n v="1"/>
    <x v="16"/>
  </r>
  <r>
    <d v="2024-11-07T00:00:00"/>
    <s v="9989011462"/>
    <s v="THE MELT (LA JOLLA)"/>
    <n v="2"/>
    <x v="8"/>
  </r>
  <r>
    <d v="2024-11-07T00:00:00"/>
    <s v="9989011462"/>
    <s v="THE MELT (LA JOLLA)"/>
    <n v="2"/>
    <x v="15"/>
  </r>
  <r>
    <d v="2024-11-07T00:00:00"/>
    <s v="9989011462"/>
    <s v="THE MELT (LA JOLLA)"/>
    <n v="1"/>
    <x v="10"/>
  </r>
  <r>
    <d v="2024-11-07T00:00:00"/>
    <s v="9989011462"/>
    <s v="THE MELT (LA JOLLA)"/>
    <n v="1"/>
    <x v="12"/>
  </r>
  <r>
    <d v="2024-11-07T00:00:00"/>
    <s v="9989011462"/>
    <s v="THE MELT (LA JOLLA)"/>
    <n v="1"/>
    <x v="9"/>
  </r>
  <r>
    <d v="2024-11-07T00:00:00"/>
    <s v="9989011462"/>
    <s v="THE MELT (LA JOLLA)"/>
    <n v="1"/>
    <x v="5"/>
  </r>
  <r>
    <d v="2024-11-07T00:00:00"/>
    <s v="9989011463"/>
    <s v="THE MELT (GAS LAMP SAN DIEGO)"/>
    <n v="1"/>
    <x v="16"/>
  </r>
  <r>
    <d v="2024-11-07T00:00:00"/>
    <s v="9989011463"/>
    <s v="THE MELT (GAS LAMP SAN DIEGO)"/>
    <n v="2"/>
    <x v="8"/>
  </r>
  <r>
    <d v="2024-11-07T00:00:00"/>
    <s v="9989011463"/>
    <s v="THE MELT (GAS LAMP SAN DIEGO)"/>
    <n v="2"/>
    <x v="15"/>
  </r>
  <r>
    <d v="2024-11-07T00:00:00"/>
    <s v="9989011463"/>
    <s v="THE MELT (GAS LAMP SAN DIEGO)"/>
    <n v="1"/>
    <x v="10"/>
  </r>
  <r>
    <d v="2024-11-07T00:00:00"/>
    <s v="9989011463"/>
    <s v="THE MELT (GAS LAMP SAN DIEGO)"/>
    <n v="1"/>
    <x v="12"/>
  </r>
  <r>
    <d v="2024-11-07T00:00:00"/>
    <s v="9989011463"/>
    <s v="THE MELT (GAS LAMP SAN DIEGO)"/>
    <n v="1"/>
    <x v="9"/>
  </r>
  <r>
    <d v="2024-11-07T00:00:00"/>
    <s v="9989011463"/>
    <s v="THE MELT (GAS LAMP SAN DIEGO)"/>
    <n v="2"/>
    <x v="5"/>
  </r>
  <r>
    <d v="2024-11-07T00:00:00"/>
    <s v="9989011464"/>
    <s v="OAKWOOD ATHLETIC CLUB"/>
    <n v="1"/>
    <x v="8"/>
  </r>
  <r>
    <d v="2024-11-07T00:00:00"/>
    <s v="9989011464"/>
    <s v="OAKWOOD ATHLETIC CLUB"/>
    <n v="1"/>
    <x v="15"/>
  </r>
  <r>
    <d v="2024-11-07T00:00:00"/>
    <s v="9989011465"/>
    <s v="THE MELT (DEL MAR)"/>
    <n v="2"/>
    <x v="8"/>
  </r>
  <r>
    <d v="2024-11-07T00:00:00"/>
    <s v="9989011465"/>
    <s v="THE MELT (DEL MAR)"/>
    <n v="1"/>
    <x v="15"/>
  </r>
  <r>
    <d v="2024-11-07T00:00:00"/>
    <s v="9989011465"/>
    <s v="THE MELT (DEL MAR)"/>
    <n v="1"/>
    <x v="12"/>
  </r>
  <r>
    <d v="2024-11-07T00:00:00"/>
    <s v="9989011465"/>
    <s v="THE MELT (DEL MAR)"/>
    <n v="1"/>
    <x v="5"/>
  </r>
  <r>
    <d v="2024-11-07T00:00:00"/>
    <s v="9989011466"/>
    <s v="CASEMENTS IRISH BAR"/>
    <n v="2"/>
    <x v="10"/>
  </r>
  <r>
    <d v="2024-11-07T00:00:00"/>
    <s v="9989011466"/>
    <s v="CASEMENTS IRISH BAR"/>
    <n v="2"/>
    <x v="15"/>
  </r>
  <r>
    <d v="2024-11-07T00:00:00"/>
    <s v="9989011466"/>
    <s v="CASEMENTS IRISH BAR"/>
    <n v="2"/>
    <x v="18"/>
  </r>
  <r>
    <d v="2024-11-07T00:00:00"/>
    <s v="9989011466"/>
    <s v="CASEMENTS IRISH BAR"/>
    <n v="1"/>
    <x v="12"/>
  </r>
  <r>
    <d v="2024-11-07T00:00:00"/>
    <s v="9989011467"/>
    <s v="CITY NIGHTS"/>
    <n v="2"/>
    <x v="28"/>
  </r>
  <r>
    <d v="2024-11-07T00:00:00"/>
    <s v="9989011467"/>
    <s v="CITY NIGHTS"/>
    <n v="1"/>
    <x v="12"/>
  </r>
  <r>
    <d v="2024-11-07T00:00:00"/>
    <s v="9989011467"/>
    <s v="CITY NIGHTS"/>
    <n v="1"/>
    <x v="22"/>
  </r>
  <r>
    <d v="2024-11-07T00:00:00"/>
    <s v="9989011467"/>
    <s v="CITY NIGHTS"/>
    <n v="1"/>
    <x v="14"/>
  </r>
  <r>
    <d v="2024-11-07T00:00:00"/>
    <s v="9989011468"/>
    <s v="BRIX BEVERAGE - SAMPLING"/>
    <n v="1"/>
    <x v="2"/>
  </r>
  <r>
    <d v="2024-11-07T00:00:00"/>
    <s v="9989011468"/>
    <s v="BRIX BEVERAGE - SAMPLING"/>
    <n v="1"/>
    <x v="3"/>
  </r>
  <r>
    <d v="2024-11-07T00:00:00"/>
    <s v="9989011468"/>
    <s v="BRIX BEVERAGE - SAMPLING"/>
    <n v="1"/>
    <x v="11"/>
  </r>
  <r>
    <d v="2024-11-07T00:00:00"/>
    <s v="9989011468"/>
    <s v="BRIX BEVERAGE - SAMPLING"/>
    <n v="1"/>
    <x v="1"/>
  </r>
  <r>
    <d v="2024-11-07T00:00:00"/>
    <s v="9989011469"/>
    <s v="MONROE"/>
    <n v="1"/>
    <x v="14"/>
  </r>
  <r>
    <d v="2024-11-07T00:00:00"/>
    <s v="9989011469"/>
    <s v="MONROE"/>
    <n v="1"/>
    <x v="21"/>
  </r>
  <r>
    <d v="2024-11-07T00:00:00"/>
    <s v="9989011469"/>
    <s v="MONROE"/>
    <n v="1"/>
    <x v="28"/>
  </r>
  <r>
    <d v="2024-11-07T00:00:00"/>
    <s v="9989011469"/>
    <s v="MONROE"/>
    <n v="1"/>
    <x v="18"/>
  </r>
  <r>
    <d v="2024-11-07T00:00:00"/>
    <s v="9989011469"/>
    <s v="MONROE"/>
    <n v="1"/>
    <x v="12"/>
  </r>
  <r>
    <d v="2024-11-07T00:00:00"/>
    <s v="9989011470"/>
    <s v="UNION STREET ALE HOUSE"/>
    <n v="1"/>
    <x v="8"/>
  </r>
  <r>
    <d v="2024-11-07T00:00:00"/>
    <s v="9989011470"/>
    <s v="UNION STREET ALE HOUSE"/>
    <n v="1"/>
    <x v="12"/>
  </r>
  <r>
    <d v="2024-11-07T00:00:00"/>
    <s v="9989011471"/>
    <s v="LAKESIDE LOUNGE"/>
    <n v="1"/>
    <x v="12"/>
  </r>
  <r>
    <d v="2024-11-07T00:00:00"/>
    <s v="9989011472"/>
    <s v="THE MELT (SANTA CLARA 0045)"/>
    <n v="3"/>
    <x v="8"/>
  </r>
  <r>
    <d v="2024-11-07T00:00:00"/>
    <s v="9989011472"/>
    <s v="THE MELT (SANTA CLARA 0045)"/>
    <n v="2"/>
    <x v="5"/>
  </r>
  <r>
    <d v="2024-11-07T00:00:00"/>
    <s v="9989011472"/>
    <s v="THE MELT (SANTA CLARA 0045)"/>
    <n v="1"/>
    <x v="12"/>
  </r>
  <r>
    <d v="2024-11-07T00:00:00"/>
    <s v="9989011472"/>
    <s v="THE MELT (SANTA CLARA 0045)"/>
    <n v="1"/>
    <x v="9"/>
  </r>
  <r>
    <d v="2024-11-07T00:00:00"/>
    <s v="9989011472"/>
    <s v="THE MELT (SANTA CLARA 0045)"/>
    <n v="1"/>
    <x v="15"/>
  </r>
  <r>
    <d v="2024-11-07T00:00:00"/>
    <s v="9989011472"/>
    <s v="THE MELT (SANTA CLARA 0045)"/>
    <n v="1"/>
    <x v="16"/>
  </r>
  <r>
    <d v="2024-11-07T00:00:00"/>
    <s v="9989011472"/>
    <s v="THE MELT (SANTA CLARA 0045)"/>
    <n v="1"/>
    <x v="10"/>
  </r>
  <r>
    <d v="2024-11-07T00:00:00"/>
    <s v="9989011473"/>
    <s v="STRAITS SANTANA ROW"/>
    <n v="1"/>
    <x v="8"/>
  </r>
  <r>
    <d v="2024-11-07T00:00:00"/>
    <s v="9989011473"/>
    <s v="STRAITS SANTANA ROW"/>
    <n v="1"/>
    <x v="15"/>
  </r>
  <r>
    <d v="2024-11-07T00:00:00"/>
    <s v="9989011473"/>
    <s v="STRAITS SANTANA ROW"/>
    <n v="1"/>
    <x v="24"/>
  </r>
  <r>
    <d v="2024-11-07T00:00:00"/>
    <s v="9989011473"/>
    <s v="STRAITS SANTANA ROW"/>
    <n v="1"/>
    <x v="28"/>
  </r>
  <r>
    <d v="2024-11-07T00:00:00"/>
    <s v="9989011473"/>
    <s v="STRAITS SANTANA ROW"/>
    <n v="1"/>
    <x v="14"/>
  </r>
  <r>
    <d v="2024-11-07T00:00:00"/>
    <s v="9989011473"/>
    <s v="STRAITS SANTANA ROW"/>
    <n v="1"/>
    <x v="10"/>
  </r>
  <r>
    <d v="2024-11-07T00:00:00"/>
    <s v="9989011474"/>
    <s v="THE LIBERTIES BAR"/>
    <n v="1"/>
    <x v="14"/>
  </r>
  <r>
    <d v="2024-11-07T00:00:00"/>
    <s v="9989011474"/>
    <s v="THE LIBERTIES BAR"/>
    <n v="1"/>
    <x v="12"/>
  </r>
  <r>
    <d v="2024-11-07T00:00:00"/>
    <s v="9989011474"/>
    <s v="THE LIBERTIES BAR"/>
    <n v="1"/>
    <x v="10"/>
  </r>
  <r>
    <d v="2024-11-07T00:00:00"/>
    <s v="9989011475"/>
    <s v="THE DIRTY BIRD LOUNGE LLC"/>
    <n v="3"/>
    <x v="10"/>
  </r>
  <r>
    <d v="2024-11-07T00:00:00"/>
    <s v="9989011475"/>
    <s v="THE DIRTY BIRD LOUNGE LLC"/>
    <n v="2"/>
    <x v="14"/>
  </r>
  <r>
    <d v="2024-11-07T00:00:00"/>
    <s v="9989011475"/>
    <s v="THE DIRTY BIRD LOUNGE LLC"/>
    <n v="1"/>
    <x v="29"/>
  </r>
  <r>
    <d v="2024-11-07T00:00:00"/>
    <s v="9989011475"/>
    <s v="THE DIRTY BIRD LOUNGE LLC"/>
    <n v="1"/>
    <x v="18"/>
  </r>
  <r>
    <d v="2024-11-07T00:00:00"/>
    <s v="9989011476"/>
    <s v="PORTAL OAKLAND INC"/>
    <n v="1"/>
    <x v="12"/>
  </r>
  <r>
    <d v="2024-11-07T00:00:00"/>
    <s v="9989011476"/>
    <s v="PORTAL OAKLAND INC"/>
    <n v="1"/>
    <x v="24"/>
  </r>
  <r>
    <d v="2024-11-07T00:00:00"/>
    <s v="9989011476"/>
    <s v="PORTAL OAKLAND INC"/>
    <n v="1"/>
    <x v="7"/>
  </r>
  <r>
    <d v="2024-11-07T00:00:00"/>
    <s v="9989011477"/>
    <s v="LAUREL LOUNGE"/>
    <n v="1"/>
    <x v="14"/>
  </r>
  <r>
    <d v="2024-11-07T00:00:00"/>
    <s v="9989011477"/>
    <s v="LAUREL LOUNGE"/>
    <n v="1"/>
    <x v="12"/>
  </r>
  <r>
    <d v="2024-11-07T00:00:00"/>
    <s v="9989011478"/>
    <s v="2101 CLUB"/>
    <n v="1"/>
    <x v="14"/>
  </r>
  <r>
    <d v="2024-11-07T00:00:00"/>
    <s v="9989011478"/>
    <s v="2101 CLUB"/>
    <n v="1"/>
    <x v="22"/>
  </r>
  <r>
    <d v="2024-11-07T00:00:00"/>
    <s v="9989011478"/>
    <s v="2101 CLUB"/>
    <n v="1"/>
    <x v="18"/>
  </r>
  <r>
    <d v="2024-11-07T00:00:00"/>
    <s v="9989011455"/>
    <s v="EL PHAROS INC."/>
    <n v="1"/>
    <x v="8"/>
  </r>
  <r>
    <d v="2024-11-07T00:00:00"/>
    <s v="9989011455"/>
    <s v="EL PHAROS INC."/>
    <n v="1"/>
    <x v="19"/>
  </r>
  <r>
    <d v="2024-11-08T00:00:00"/>
    <s v="9989011479"/>
    <s v="SCOLARIS ON PARK ST"/>
    <n v="4"/>
    <x v="1"/>
  </r>
  <r>
    <d v="2024-11-08T00:00:00"/>
    <s v="9989011479"/>
    <s v="SCOLARIS ON PARK ST"/>
    <n v="5"/>
    <x v="4"/>
  </r>
  <r>
    <d v="2024-11-08T00:00:00"/>
    <s v="9989011479"/>
    <s v="SCOLARIS ON PARK ST"/>
    <n v="3"/>
    <x v="11"/>
  </r>
  <r>
    <d v="2024-11-08T00:00:00"/>
    <s v="9989011479"/>
    <s v="SCOLARIS ON PARK ST"/>
    <n v="3"/>
    <x v="3"/>
  </r>
  <r>
    <d v="2024-11-08T00:00:00"/>
    <s v="9989011480"/>
    <s v="CRYBABY"/>
    <n v="1"/>
    <x v="28"/>
  </r>
  <r>
    <d v="2024-11-08T00:00:00"/>
    <s v="9989011480"/>
    <s v="CRYBABY"/>
    <n v="1"/>
    <x v="14"/>
  </r>
  <r>
    <d v="2024-11-08T00:00:00"/>
    <s v="9989011480"/>
    <s v="CRYBABY"/>
    <n v="1"/>
    <x v="8"/>
  </r>
  <r>
    <d v="2024-11-08T00:00:00"/>
    <s v="9989011481"/>
    <s v="HELLO STRANGER"/>
    <n v="1"/>
    <x v="13"/>
  </r>
  <r>
    <d v="2024-11-08T00:00:00"/>
    <s v="9989011481"/>
    <s v="HELLO STRANGER"/>
    <n v="1"/>
    <x v="27"/>
  </r>
  <r>
    <d v="2024-11-08T00:00:00"/>
    <s v="9989011481"/>
    <s v="HELLO STRANGER"/>
    <n v="2"/>
    <x v="28"/>
  </r>
  <r>
    <d v="2024-11-08T00:00:00"/>
    <s v="9989011482"/>
    <s v="MOLLY O'S"/>
    <n v="1"/>
    <x v="7"/>
  </r>
  <r>
    <d v="2024-11-08T00:00:00"/>
    <s v="9989011482"/>
    <s v="MOLLY O'S"/>
    <n v="1"/>
    <x v="12"/>
  </r>
  <r>
    <d v="2024-11-08T00:00:00"/>
    <s v="9989011482"/>
    <s v="MOLLY O'S"/>
    <n v="1"/>
    <x v="8"/>
  </r>
  <r>
    <d v="2024-11-08T00:00:00"/>
    <s v="9989011482"/>
    <s v="MOLLY O'S"/>
    <n v="1"/>
    <x v="15"/>
  </r>
  <r>
    <d v="2024-11-08T00:00:00"/>
    <s v="9989011482"/>
    <s v="MOLLY O'S"/>
    <n v="1"/>
    <x v="18"/>
  </r>
  <r>
    <d v="2024-11-08T00:00:00"/>
    <s v="9989011483"/>
    <s v="HOLE IN THE WALL"/>
    <n v="1"/>
    <x v="13"/>
  </r>
  <r>
    <d v="2024-11-08T00:00:00"/>
    <s v="9989011484"/>
    <s v="STARBIRD CHICKEN - CORTE MADERA"/>
    <n v="1"/>
    <x v="8"/>
  </r>
  <r>
    <d v="2024-11-08T00:00:00"/>
    <s v="9989011484"/>
    <s v="STARBIRD CHICKEN - CORTE MADERA"/>
    <n v="1"/>
    <x v="12"/>
  </r>
  <r>
    <d v="2024-11-08T00:00:00"/>
    <s v="9989011484"/>
    <s v="STARBIRD CHICKEN - CORTE MADERA"/>
    <n v="1"/>
    <x v="17"/>
  </r>
  <r>
    <d v="2024-11-08T00:00:00"/>
    <s v="9989011484"/>
    <s v="STARBIRD CHICKEN - CORTE MADERA"/>
    <n v="1"/>
    <x v="23"/>
  </r>
  <r>
    <d v="2024-11-08T00:00:00"/>
    <s v="9989011485"/>
    <s v="THE MELT (80 GRAND)"/>
    <n v="3"/>
    <x v="8"/>
  </r>
  <r>
    <d v="2024-11-08T00:00:00"/>
    <s v="9989011485"/>
    <s v="THE MELT (80 GRAND)"/>
    <n v="2"/>
    <x v="10"/>
  </r>
  <r>
    <d v="2024-11-08T00:00:00"/>
    <s v="9989011485"/>
    <s v="THE MELT (80 GRAND)"/>
    <n v="2"/>
    <x v="9"/>
  </r>
  <r>
    <d v="2024-11-08T00:00:00"/>
    <s v="9989011485"/>
    <s v="THE MELT (80 GRAND)"/>
    <n v="3"/>
    <x v="5"/>
  </r>
  <r>
    <d v="2024-11-08T00:00:00"/>
    <s v="9989011486"/>
    <s v="LUCKY 13"/>
    <n v="1"/>
    <x v="14"/>
  </r>
  <r>
    <d v="2024-11-08T00:00:00"/>
    <s v="9989011486"/>
    <s v="LUCKY 13"/>
    <n v="1"/>
    <x v="19"/>
  </r>
  <r>
    <d v="2024-11-08T00:00:00"/>
    <s v="9989011487"/>
    <s v="THE JUNCTION"/>
    <n v="1"/>
    <x v="7"/>
  </r>
  <r>
    <d v="2024-11-08T00:00:00"/>
    <s v="9989011487"/>
    <s v="THE JUNCTION"/>
    <n v="1"/>
    <x v="24"/>
  </r>
  <r>
    <d v="2024-11-08T00:00:00"/>
    <s v="9989011487"/>
    <s v="THE JUNCTION"/>
    <n v="2"/>
    <x v="25"/>
  </r>
  <r>
    <d v="2024-11-08T00:00:00"/>
    <s v="9989011487"/>
    <s v="THE JUNCTION"/>
    <n v="1"/>
    <x v="8"/>
  </r>
  <r>
    <d v="2024-11-08T00:00:00"/>
    <s v="9989011488"/>
    <s v="MEDITERRANEAN BAR"/>
    <n v="2"/>
    <x v="8"/>
  </r>
  <r>
    <d v="2024-11-08T00:00:00"/>
    <s v="9989011488"/>
    <s v="MEDITERRANEAN BAR"/>
    <n v="2"/>
    <x v="12"/>
  </r>
  <r>
    <d v="2024-11-08T00:00:00"/>
    <s v="9989011489"/>
    <s v="GATHER"/>
    <n v="2"/>
    <x v="11"/>
  </r>
  <r>
    <d v="2024-11-08T00:00:00"/>
    <s v="9989011489"/>
    <s v="GATHER"/>
    <n v="2"/>
    <x v="1"/>
  </r>
  <r>
    <d v="2024-11-08T00:00:00"/>
    <s v="9989011490"/>
    <s v="LAS PALMAS"/>
    <n v="1"/>
    <x v="13"/>
  </r>
  <r>
    <d v="2024-11-08T00:00:00"/>
    <s v="9989011490"/>
    <s v="LAS PALMAS"/>
    <n v="1"/>
    <x v="27"/>
  </r>
  <r>
    <d v="2024-11-08T00:00:00"/>
    <s v="9989011491"/>
    <s v="TRIPLE ROCK BREWING COMPANY"/>
    <n v="1"/>
    <x v="24"/>
  </r>
  <r>
    <d v="2024-11-08T00:00:00"/>
    <s v="9989011491"/>
    <s v="TRIPLE ROCK BREWING COMPANY"/>
    <n v="1"/>
    <x v="7"/>
  </r>
  <r>
    <d v="2024-11-08T00:00:00"/>
    <s v="9989011492"/>
    <s v="HEART AND DAGGER SALOON"/>
    <n v="2"/>
    <x v="8"/>
  </r>
  <r>
    <d v="2024-11-08T00:00:00"/>
    <s v="9989011492"/>
    <s v="HEART AND DAGGER SALOON"/>
    <n v="1"/>
    <x v="12"/>
  </r>
  <r>
    <d v="2024-11-08T00:00:00"/>
    <s v="9989011492"/>
    <s v="HEART AND DAGGER SALOON"/>
    <n v="1"/>
    <x v="14"/>
  </r>
  <r>
    <d v="2024-11-08T00:00:00"/>
    <s v="9989011492"/>
    <s v="HEART AND DAGGER SALOON"/>
    <n v="2"/>
    <x v="10"/>
  </r>
  <r>
    <d v="2024-11-08T00:00:00"/>
    <s v="9989011493"/>
    <s v="BLUE LAGOON"/>
    <n v="1"/>
    <x v="14"/>
  </r>
  <r>
    <d v="2024-11-08T00:00:00"/>
    <s v="9989011493"/>
    <s v="BLUE LAGOON"/>
    <n v="1"/>
    <x v="22"/>
  </r>
  <r>
    <d v="2024-11-08T00:00:00"/>
    <s v="9989011493"/>
    <s v="BLUE LAGOON"/>
    <n v="1"/>
    <x v="8"/>
  </r>
  <r>
    <d v="2024-11-08T00:00:00"/>
    <s v="9989011494"/>
    <s v="BEERYLAND -(TELEGRAPH BEER GARDEN)"/>
    <n v="1"/>
    <x v="8"/>
  </r>
  <r>
    <d v="2024-11-08T00:00:00"/>
    <s v="9989011494"/>
    <s v="BEERYLAND -(TELEGRAPH BEER GARDEN)"/>
    <n v="1"/>
    <x v="14"/>
  </r>
  <r>
    <d v="2024-11-08T00:00:00"/>
    <s v="9989011494"/>
    <s v="BEERYLAND -(TELEGRAPH BEER GARDEN)"/>
    <n v="1"/>
    <x v="18"/>
  </r>
  <r>
    <d v="2024-11-08T00:00:00"/>
    <s v="9989011494"/>
    <s v="BEERYLAND -(TELEGRAPH BEER GARDEN)"/>
    <n v="1"/>
    <x v="10"/>
  </r>
  <r>
    <d v="2024-11-08T00:00:00"/>
    <s v="9989011496"/>
    <s v="ARTHUR MAC'S LITTLE SNACK"/>
    <n v="2"/>
    <x v="8"/>
  </r>
  <r>
    <d v="2024-11-08T00:00:00"/>
    <s v="9989011497"/>
    <s v="GRAND LAKE THEATER"/>
    <n v="6"/>
    <x v="8"/>
  </r>
  <r>
    <d v="2024-11-08T00:00:00"/>
    <s v="9989011497"/>
    <s v="GRAND LAKE THEATER"/>
    <n v="3"/>
    <x v="5"/>
  </r>
  <r>
    <d v="2024-11-08T00:00:00"/>
    <s v="9989011497"/>
    <s v="GRAND LAKE THEATER"/>
    <n v="2"/>
    <x v="7"/>
  </r>
  <r>
    <d v="2024-11-08T00:00:00"/>
    <s v="9989011497"/>
    <s v="GRAND LAKE THEATER"/>
    <n v="2"/>
    <x v="10"/>
  </r>
  <r>
    <d v="2024-11-08T00:00:00"/>
    <s v="9989011497"/>
    <s v="GRAND LAKE THEATER"/>
    <n v="1"/>
    <x v="12"/>
  </r>
  <r>
    <d v="2024-11-08T00:00:00"/>
    <s v="9989011499"/>
    <s v="CLUB CARIBE"/>
    <n v="2"/>
    <x v="28"/>
  </r>
  <r>
    <d v="2024-11-08T00:00:00"/>
    <s v="9989011499"/>
    <s v="CLUB CARIBE"/>
    <n v="2"/>
    <x v="22"/>
  </r>
  <r>
    <d v="2024-11-11T00:00:00"/>
    <s v="9989011500"/>
    <s v="RED BARN LLC"/>
    <n v="10"/>
    <x v="7"/>
  </r>
  <r>
    <d v="2024-11-11T00:00:00"/>
    <s v="9989011500"/>
    <s v="RED BARN LLC"/>
    <n v="10"/>
    <x v="25"/>
  </r>
  <r>
    <d v="2024-11-11T00:00:00"/>
    <s v="9989011500"/>
    <s v="RED BARN LLC"/>
    <n v="3"/>
    <x v="13"/>
  </r>
  <r>
    <d v="2024-11-11T00:00:00"/>
    <s v="9989011500"/>
    <s v="RED BARN LLC"/>
    <n v="4"/>
    <x v="26"/>
  </r>
  <r>
    <d v="2024-11-11T00:00:00"/>
    <s v="9989011500"/>
    <s v="RED BARN LLC"/>
    <n v="5"/>
    <x v="27"/>
  </r>
  <r>
    <d v="2024-11-11T00:00:00"/>
    <s v="9989011500"/>
    <s v="RED BARN LLC"/>
    <n v="5"/>
    <x v="10"/>
  </r>
  <r>
    <d v="2024-11-11T00:00:00"/>
    <s v="9989011500"/>
    <s v="RED BARN LLC"/>
    <n v="2"/>
    <x v="13"/>
  </r>
  <r>
    <d v="2024-11-11T00:00:00"/>
    <s v="9989011502"/>
    <s v="U BAR"/>
    <n v="1"/>
    <x v="12"/>
  </r>
  <r>
    <d v="2024-11-11T00:00:00"/>
    <s v="9989011502"/>
    <s v="U BAR"/>
    <n v="1"/>
    <x v="8"/>
  </r>
  <r>
    <d v="2024-11-11T00:00:00"/>
    <s v="9989011502"/>
    <s v="U BAR"/>
    <n v="1"/>
    <x v="10"/>
  </r>
  <r>
    <d v="2024-11-12T00:00:00"/>
    <s v="9989011503"/>
    <s v="THE MELT (80 GRAND)"/>
    <n v="1"/>
    <x v="15"/>
  </r>
  <r>
    <d v="2024-11-12T00:00:00"/>
    <s v="9989011504"/>
    <s v="THE DEAD FISH"/>
    <n v="1"/>
    <x v="27"/>
  </r>
  <r>
    <d v="2024-11-12T00:00:00"/>
    <s v="9989011504"/>
    <s v="THE DEAD FISH"/>
    <n v="1"/>
    <x v="26"/>
  </r>
  <r>
    <d v="2024-11-12T00:00:00"/>
    <s v="9989011504"/>
    <s v="THE DEAD FISH"/>
    <n v="1"/>
    <x v="13"/>
  </r>
  <r>
    <d v="2024-11-12T00:00:00"/>
    <s v="9989011504"/>
    <s v="THE DEAD FISH"/>
    <n v="1"/>
    <x v="24"/>
  </r>
  <r>
    <d v="2024-11-12T00:00:00"/>
    <s v="9989011504"/>
    <s v="THE DEAD FISH"/>
    <n v="1"/>
    <x v="7"/>
  </r>
  <r>
    <d v="2024-11-12T00:00:00"/>
    <s v="9989011505"/>
    <s v="ANTLERS"/>
    <n v="1"/>
    <x v="14"/>
  </r>
  <r>
    <d v="2024-11-12T00:00:00"/>
    <s v="9989011505"/>
    <s v="ANTLERS"/>
    <n v="1"/>
    <x v="13"/>
  </r>
  <r>
    <d v="2024-11-12T00:00:00"/>
    <s v="9989011505"/>
    <s v="ANTLERS"/>
    <n v="1"/>
    <x v="27"/>
  </r>
  <r>
    <d v="2024-11-12T00:00:00"/>
    <s v="9989011506"/>
    <s v="THE RANCHO SALOON"/>
    <n v="1"/>
    <x v="8"/>
  </r>
  <r>
    <d v="2024-11-12T00:00:00"/>
    <s v="9989011506"/>
    <s v="THE RANCHO SALOON"/>
    <n v="1"/>
    <x v="12"/>
  </r>
  <r>
    <d v="2024-11-12T00:00:00"/>
    <s v="9989011506"/>
    <s v="THE RANCHO SALOON"/>
    <n v="1"/>
    <x v="14"/>
  </r>
  <r>
    <d v="2024-11-12T00:00:00"/>
    <s v="9989011506"/>
    <s v="THE RANCHO SALOON"/>
    <n v="1"/>
    <x v="22"/>
  </r>
  <r>
    <d v="2024-11-12T00:00:00"/>
    <s v="9989011507"/>
    <s v="BALTIC KISS"/>
    <n v="2"/>
    <x v="8"/>
  </r>
  <r>
    <d v="2024-11-12T00:00:00"/>
    <s v="9989011507"/>
    <s v="BALTIC KISS"/>
    <n v="1"/>
    <x v="19"/>
  </r>
  <r>
    <d v="2024-11-12T00:00:00"/>
    <s v="9989011508"/>
    <s v="HOMEROOM - BERKELEY"/>
    <n v="1"/>
    <x v="9"/>
  </r>
  <r>
    <d v="2024-11-12T00:00:00"/>
    <s v="9989011508"/>
    <s v="HOMEROOM - BERKELEY"/>
    <n v="1"/>
    <x v="19"/>
  </r>
  <r>
    <d v="2024-11-12T00:00:00"/>
    <s v="9989011508"/>
    <s v="HOMEROOM - BERKELEY"/>
    <n v="2"/>
    <x v="8"/>
  </r>
  <r>
    <d v="2024-11-12T00:00:00"/>
    <s v="9989011510"/>
    <s v="EAST BAY NATURAL GROCERY"/>
    <n v="2"/>
    <x v="1"/>
  </r>
  <r>
    <d v="2024-11-12T00:00:00"/>
    <s v="9989011510"/>
    <s v="EAST BAY NATURAL GROCERY"/>
    <n v="1"/>
    <x v="11"/>
  </r>
  <r>
    <d v="2024-11-12T00:00:00"/>
    <s v="9989011510"/>
    <s v="EAST BAY NATURAL GROCERY"/>
    <n v="2"/>
    <x v="4"/>
  </r>
  <r>
    <d v="2024-11-12T00:00:00"/>
    <s v="9989011510"/>
    <s v="EAST BAY NATURAL GROCERY"/>
    <n v="1"/>
    <x v="2"/>
  </r>
  <r>
    <d v="2024-11-12T00:00:00"/>
    <s v="9989011510"/>
    <s v="EAST BAY NATURAL GROCERY"/>
    <n v="1"/>
    <x v="3"/>
  </r>
  <r>
    <d v="2024-11-12T00:00:00"/>
    <s v="9989011511"/>
    <s v="HOTSY TOTSY CLUB"/>
    <n v="2"/>
    <x v="18"/>
  </r>
  <r>
    <d v="2024-11-12T00:00:00"/>
    <s v="9989011511"/>
    <s v="HOTSY TOTSY CLUB"/>
    <n v="1"/>
    <x v="14"/>
  </r>
  <r>
    <d v="2024-11-12T00:00:00"/>
    <s v="9989011512"/>
    <s v="STARBIRD CHICKEN - MARINA DEL REY"/>
    <n v="2"/>
    <x v="17"/>
  </r>
  <r>
    <d v="2024-11-12T00:00:00"/>
    <s v="9989011512"/>
    <s v="STARBIRD CHICKEN - MARINA DEL REY"/>
    <n v="1"/>
    <x v="5"/>
  </r>
  <r>
    <d v="2024-11-12T00:00:00"/>
    <s v="9989011512"/>
    <s v="STARBIRD CHICKEN - MARINA DEL REY"/>
    <n v="1"/>
    <x v="8"/>
  </r>
  <r>
    <d v="2024-11-12T00:00:00"/>
    <s v="9989011512"/>
    <s v="STARBIRD CHICKEN - MARINA DEL REY"/>
    <n v="1"/>
    <x v="15"/>
  </r>
  <r>
    <d v="2024-11-12T00:00:00"/>
    <s v="9989011512"/>
    <s v="STARBIRD CHICKEN - MARINA DEL REY"/>
    <n v="1"/>
    <x v="23"/>
  </r>
  <r>
    <d v="2024-11-12T00:00:00"/>
    <s v="9989011512"/>
    <s v="STARBIRD CHICKEN - MARINA DEL REY"/>
    <n v="1"/>
    <x v="10"/>
  </r>
  <r>
    <d v="2024-11-12T00:00:00"/>
    <s v="9989011512"/>
    <s v="STARBIRD CHICKEN - MARINA DEL REY"/>
    <n v="1"/>
    <x v="11"/>
  </r>
  <r>
    <d v="2024-11-12T00:00:00"/>
    <s v="9989011512"/>
    <s v="STARBIRD CHICKEN - MARINA DEL REY"/>
    <n v="1"/>
    <x v="1"/>
  </r>
  <r>
    <d v="2024-11-12T00:00:00"/>
    <s v="9989011512"/>
    <s v="STARBIRD CHICKEN - MARINA DEL REY"/>
    <n v="1"/>
    <x v="4"/>
  </r>
  <r>
    <d v="2024-11-12T00:00:00"/>
    <s v="9989011514"/>
    <s v="TOP DOG #1 DUR"/>
    <n v="2"/>
    <x v="13"/>
  </r>
  <r>
    <d v="2024-11-12T00:00:00"/>
    <s v="9989011514"/>
    <s v="TOP DOG #1 DUR"/>
    <n v="1"/>
    <x v="26"/>
  </r>
  <r>
    <d v="2024-11-12T00:00:00"/>
    <s v="9989011514"/>
    <s v="TOP DOG #1 DUR"/>
    <n v="1"/>
    <x v="27"/>
  </r>
  <r>
    <d v="2024-11-12T00:00:00"/>
    <s v="9989011514"/>
    <s v="TOP DOG #1 DUR"/>
    <n v="2"/>
    <x v="5"/>
  </r>
  <r>
    <d v="2024-11-12T00:00:00"/>
    <s v="9989011514"/>
    <s v="TOP DOG #1 DUR"/>
    <n v="2"/>
    <x v="7"/>
  </r>
  <r>
    <d v="2024-11-12T00:00:00"/>
    <s v="9989011515"/>
    <s v="KONA CLUB"/>
    <n v="1"/>
    <x v="14"/>
  </r>
  <r>
    <d v="2024-11-12T00:00:00"/>
    <s v="9989011515"/>
    <s v="KONA CLUB"/>
    <n v="1"/>
    <x v="8"/>
  </r>
  <r>
    <d v="2024-11-12T00:00:00"/>
    <s v="9989011515"/>
    <s v="KONA CLUB"/>
    <n v="1"/>
    <x v="12"/>
  </r>
  <r>
    <d v="2024-11-12T00:00:00"/>
    <s v="9989011515"/>
    <s v="KONA CLUB"/>
    <n v="1"/>
    <x v="18"/>
  </r>
  <r>
    <d v="2024-11-12T00:00:00"/>
    <s v="9989011516"/>
    <s v="THE AVENUE"/>
    <n v="2"/>
    <x v="8"/>
  </r>
  <r>
    <d v="2024-11-12T00:00:00"/>
    <s v="9989011516"/>
    <s v="THE AVENUE"/>
    <n v="2"/>
    <x v="12"/>
  </r>
  <r>
    <d v="2024-11-12T00:00:00"/>
    <s v="9989011516"/>
    <s v="THE AVENUE"/>
    <n v="1"/>
    <x v="10"/>
  </r>
  <r>
    <d v="2024-11-12T00:00:00"/>
    <s v="9989011517"/>
    <s v="DRAKES DEALERSHIP"/>
    <n v="1"/>
    <x v="13"/>
  </r>
  <r>
    <d v="2024-11-12T00:00:00"/>
    <s v="9989011517"/>
    <s v="DRAKES DEALERSHIP"/>
    <n v="1"/>
    <x v="26"/>
  </r>
  <r>
    <d v="2024-11-12T00:00:00"/>
    <s v="9989011517"/>
    <s v="DRAKES DEALERSHIP"/>
    <n v="1"/>
    <x v="10"/>
  </r>
  <r>
    <d v="2024-11-12T00:00:00"/>
    <s v="9989011518"/>
    <s v="THE COMET"/>
    <n v="1"/>
    <x v="8"/>
  </r>
  <r>
    <d v="2024-11-12T00:00:00"/>
    <s v="9989011518"/>
    <s v="THE COMET"/>
    <n v="1"/>
    <x v="14"/>
  </r>
  <r>
    <d v="2024-11-12T00:00:00"/>
    <s v="9989011519"/>
    <s v="UCSF MEDICAL CENTER PARNASSUS"/>
    <n v="1"/>
    <x v="26"/>
  </r>
  <r>
    <d v="2024-11-12T00:00:00"/>
    <s v="9989011519"/>
    <s v="UCSF MEDICAL CENTER PARNASSUS"/>
    <n v="1"/>
    <x v="32"/>
  </r>
  <r>
    <d v="2024-11-12T00:00:00"/>
    <s v="9989011519"/>
    <s v="UCSF MEDICAL CENTER PARNASSUS"/>
    <n v="1"/>
    <x v="31"/>
  </r>
  <r>
    <d v="2024-11-12T00:00:00"/>
    <s v="9989011519"/>
    <s v="UCSF MEDICAL CENTER PARNASSUS"/>
    <n v="2"/>
    <x v="35"/>
  </r>
  <r>
    <d v="2024-11-12T00:00:00"/>
    <s v="9989011519"/>
    <s v="UCSF MEDICAL CENTER PARNASSUS"/>
    <n v="2"/>
    <x v="34"/>
  </r>
  <r>
    <d v="2024-11-12T00:00:00"/>
    <s v="9989011519"/>
    <s v="UCSF MEDICAL CENTER PARNASSUS"/>
    <n v="1"/>
    <x v="24"/>
  </r>
  <r>
    <d v="2024-11-12T00:00:00"/>
    <s v="9989011519"/>
    <s v="UCSF MEDICAL CENTER PARNASSUS"/>
    <n v="1"/>
    <x v="36"/>
  </r>
  <r>
    <d v="2024-11-12T00:00:00"/>
    <s v="9989011521"/>
    <s v="STARBIRD CHICKEN - SF CLOUD"/>
    <n v="3"/>
    <x v="11"/>
  </r>
  <r>
    <d v="2024-11-12T00:00:00"/>
    <s v="9989011521"/>
    <s v="STARBIRD CHICKEN - SF CLOUD"/>
    <n v="3"/>
    <x v="1"/>
  </r>
  <r>
    <d v="2024-11-12T00:00:00"/>
    <s v="9989011521"/>
    <s v="STARBIRD CHICKEN - SF CLOUD"/>
    <n v="2"/>
    <x v="4"/>
  </r>
  <r>
    <d v="2024-11-12T00:00:00"/>
    <s v="9989011520"/>
    <s v="THE MELT (WEST HOLLYWOOD)"/>
    <n v="1"/>
    <x v="16"/>
  </r>
  <r>
    <d v="2024-11-12T00:00:00"/>
    <s v="9989011520"/>
    <s v="THE MELT (WEST HOLLYWOOD)"/>
    <n v="2"/>
    <x v="8"/>
  </r>
  <r>
    <d v="2024-11-12T00:00:00"/>
    <s v="9989011520"/>
    <s v="THE MELT (WEST HOLLYWOOD)"/>
    <n v="2"/>
    <x v="15"/>
  </r>
  <r>
    <d v="2024-11-12T00:00:00"/>
    <s v="9989011520"/>
    <s v="THE MELT (WEST HOLLYWOOD)"/>
    <n v="1"/>
    <x v="10"/>
  </r>
  <r>
    <d v="2024-11-12T00:00:00"/>
    <s v="9989011520"/>
    <s v="THE MELT (WEST HOLLYWOOD)"/>
    <n v="1"/>
    <x v="12"/>
  </r>
  <r>
    <d v="2024-11-12T00:00:00"/>
    <s v="9989011520"/>
    <s v="THE MELT (WEST HOLLYWOOD)"/>
    <n v="2"/>
    <x v="9"/>
  </r>
  <r>
    <d v="2024-11-12T00:00:00"/>
    <s v="9989011520"/>
    <s v="THE MELT (WEST HOLLYWOOD)"/>
    <n v="1"/>
    <x v="5"/>
  </r>
  <r>
    <d v="2024-11-12T00:00:00"/>
    <s v="9989011522"/>
    <s v="STARBIRD CHICKEN - FAIRFAX"/>
    <n v="2"/>
    <x v="8"/>
  </r>
  <r>
    <d v="2024-11-12T00:00:00"/>
    <s v="9989011522"/>
    <s v="STARBIRD CHICKEN - FAIRFAX"/>
    <n v="1"/>
    <x v="15"/>
  </r>
  <r>
    <d v="2024-11-12T00:00:00"/>
    <s v="9989011522"/>
    <s v="STARBIRD CHICKEN - FAIRFAX"/>
    <n v="2"/>
    <x v="12"/>
  </r>
  <r>
    <d v="2024-11-12T00:00:00"/>
    <s v="9989011522"/>
    <s v="STARBIRD CHICKEN - FAIRFAX"/>
    <n v="1"/>
    <x v="10"/>
  </r>
  <r>
    <d v="2024-11-12T00:00:00"/>
    <s v="9989011522"/>
    <s v="STARBIRD CHICKEN - FAIRFAX"/>
    <n v="1"/>
    <x v="5"/>
  </r>
  <r>
    <d v="2024-11-12T00:00:00"/>
    <s v="9989011522"/>
    <s v="STARBIRD CHICKEN - FAIRFAX"/>
    <n v="1"/>
    <x v="17"/>
  </r>
  <r>
    <d v="2024-11-12T00:00:00"/>
    <s v="9989011522"/>
    <s v="STARBIRD CHICKEN - FAIRFAX"/>
    <n v="1"/>
    <x v="1"/>
  </r>
  <r>
    <d v="2024-11-12T00:00:00"/>
    <s v="9989011522"/>
    <s v="STARBIRD CHICKEN - FAIRFAX"/>
    <n v="1"/>
    <x v="3"/>
  </r>
  <r>
    <d v="2024-11-12T00:00:00"/>
    <s v="9989011522"/>
    <s v="STARBIRD CHICKEN - FAIRFAX"/>
    <n v="1"/>
    <x v="4"/>
  </r>
  <r>
    <d v="2024-11-12T00:00:00"/>
    <s v="9989011523"/>
    <s v="CASEMENTS IRISH BAR"/>
    <n v="2"/>
    <x v="8"/>
  </r>
  <r>
    <d v="2024-11-12T00:00:00"/>
    <s v="9989011526"/>
    <s v="ALMANAC"/>
    <n v="8"/>
    <x v="1"/>
  </r>
  <r>
    <d v="2024-11-12T00:00:00"/>
    <s v="9989011526"/>
    <s v="ALMANAC"/>
    <n v="4"/>
    <x v="11"/>
  </r>
  <r>
    <d v="2024-11-12T00:00:00"/>
    <s v="9989011526"/>
    <s v="ALMANAC"/>
    <n v="8"/>
    <x v="4"/>
  </r>
  <r>
    <d v="2024-11-12T00:00:00"/>
    <s v="9989011526"/>
    <s v="ALMANAC"/>
    <n v="1"/>
    <x v="3"/>
  </r>
  <r>
    <d v="2024-11-13T00:00:00"/>
    <s v="9989011527"/>
    <s v="CANYON CLUB BREWERY"/>
    <n v="2"/>
    <x v="7"/>
  </r>
  <r>
    <d v="2024-11-13T00:00:00"/>
    <s v="9989011527"/>
    <s v="CANYON CLUB BREWERY"/>
    <n v="1"/>
    <x v="8"/>
  </r>
  <r>
    <d v="2024-11-13T00:00:00"/>
    <s v="9989011527"/>
    <s v="CANYON CLUB BREWERY"/>
    <n v="1"/>
    <x v="10"/>
  </r>
  <r>
    <d v="2024-11-13T00:00:00"/>
    <s v="9989011529"/>
    <s v="THE MELT (7TH @ FIG)"/>
    <n v="3"/>
    <x v="8"/>
  </r>
  <r>
    <d v="2024-11-13T00:00:00"/>
    <s v="9989011529"/>
    <s v="THE MELT (7TH @ FIG)"/>
    <n v="1"/>
    <x v="10"/>
  </r>
  <r>
    <d v="2024-11-13T00:00:00"/>
    <s v="9989011529"/>
    <s v="THE MELT (7TH @ FIG)"/>
    <n v="2"/>
    <x v="12"/>
  </r>
  <r>
    <d v="2024-11-13T00:00:00"/>
    <s v="9989011529"/>
    <s v="THE MELT (7TH @ FIG)"/>
    <n v="1"/>
    <x v="9"/>
  </r>
  <r>
    <d v="2024-11-13T00:00:00"/>
    <s v="9989011529"/>
    <s v="THE MELT (7TH @ FIG)"/>
    <n v="1"/>
    <x v="5"/>
  </r>
  <r>
    <d v="2024-11-13T00:00:00"/>
    <s v="9989011530"/>
    <s v="CAMINO'S"/>
    <n v="1"/>
    <x v="26"/>
  </r>
  <r>
    <d v="2024-11-13T00:00:00"/>
    <s v="9989011530"/>
    <s v="CAMINO'S"/>
    <n v="1"/>
    <x v="13"/>
  </r>
  <r>
    <d v="2024-11-13T00:00:00"/>
    <s v="9989011530"/>
    <s v="CAMINO'S"/>
    <n v="1"/>
    <x v="27"/>
  </r>
  <r>
    <d v="2024-11-13T00:00:00"/>
    <s v="9989011531"/>
    <s v="STARBIRD CHICKEN - WALNUT CREEK"/>
    <n v="1"/>
    <x v="4"/>
  </r>
  <r>
    <d v="2024-11-13T00:00:00"/>
    <s v="9989011532"/>
    <s v="THE MELT (DANVILLE)"/>
    <n v="1"/>
    <x v="8"/>
  </r>
  <r>
    <d v="2024-11-13T00:00:00"/>
    <s v="9989011532"/>
    <s v="THE MELT (DANVILLE)"/>
    <n v="1"/>
    <x v="16"/>
  </r>
  <r>
    <d v="2024-11-13T00:00:00"/>
    <s v="9989011532"/>
    <s v="THE MELT (DANVILLE)"/>
    <n v="1"/>
    <x v="5"/>
  </r>
  <r>
    <d v="2024-11-13T00:00:00"/>
    <s v="9989011533"/>
    <s v="LUNA LOCA (JAINS FOODS)"/>
    <n v="1"/>
    <x v="8"/>
  </r>
  <r>
    <d v="2024-11-13T00:00:00"/>
    <s v="9989011533"/>
    <s v="LUNA LOCA (JAINS FOODS)"/>
    <n v="1"/>
    <x v="12"/>
  </r>
  <r>
    <d v="2024-11-13T00:00:00"/>
    <s v="9989011534"/>
    <s v="VJ'S SPORTS AND PIZZA"/>
    <n v="1"/>
    <x v="13"/>
  </r>
  <r>
    <d v="2024-11-13T00:00:00"/>
    <s v="9989011534"/>
    <s v="VJ'S SPORTS AND PIZZA"/>
    <n v="1"/>
    <x v="12"/>
  </r>
  <r>
    <d v="2024-11-13T00:00:00"/>
    <s v="9989011534"/>
    <s v="VJ'S SPORTS AND PIZZA"/>
    <n v="1"/>
    <x v="15"/>
  </r>
  <r>
    <d v="2024-11-13T00:00:00"/>
    <s v="9989011535"/>
    <s v="STARBIRD CHICKEN - PLEASANTON"/>
    <n v="2"/>
    <x v="8"/>
  </r>
  <r>
    <d v="2024-11-13T00:00:00"/>
    <s v="9989011535"/>
    <s v="STARBIRD CHICKEN - PLEASANTON"/>
    <n v="1"/>
    <x v="15"/>
  </r>
  <r>
    <d v="2024-11-13T00:00:00"/>
    <s v="9989011535"/>
    <s v="STARBIRD CHICKEN - PLEASANTON"/>
    <n v="2"/>
    <x v="12"/>
  </r>
  <r>
    <d v="2024-11-13T00:00:00"/>
    <s v="9989011535"/>
    <s v="STARBIRD CHICKEN - PLEASANTON"/>
    <n v="1"/>
    <x v="23"/>
  </r>
  <r>
    <d v="2024-11-13T00:00:00"/>
    <s v="9989011535"/>
    <s v="STARBIRD CHICKEN - PLEASANTON"/>
    <n v="2"/>
    <x v="5"/>
  </r>
  <r>
    <d v="2024-11-13T00:00:00"/>
    <s v="9989011536"/>
    <s v="CALI KID BURGERS AND SHAKES"/>
    <n v="1"/>
    <x v="8"/>
  </r>
  <r>
    <d v="2024-11-13T00:00:00"/>
    <s v="9989011536"/>
    <s v="CALI KID BURGERS AND SHAKES"/>
    <n v="1"/>
    <x v="15"/>
  </r>
  <r>
    <d v="2024-11-13T00:00:00"/>
    <s v="9989011536"/>
    <s v="CALI KID BURGERS AND SHAKES"/>
    <n v="1"/>
    <x v="9"/>
  </r>
  <r>
    <d v="2024-11-13T00:00:00"/>
    <s v="9989011536"/>
    <s v="CALI KID BURGERS AND SHAKES"/>
    <n v="1"/>
    <x v="10"/>
  </r>
  <r>
    <d v="2024-11-13T00:00:00"/>
    <s v="9989011536"/>
    <s v="CALI KID BURGERS AND SHAKES"/>
    <n v="1"/>
    <x v="5"/>
  </r>
  <r>
    <d v="2024-11-13T00:00:00"/>
    <s v="9989011536"/>
    <s v="CALI KID BURGERS AND SHAKES"/>
    <n v="1"/>
    <x v="17"/>
  </r>
  <r>
    <d v="2024-11-13T00:00:00"/>
    <s v="9989011537"/>
    <s v="LIVERMORE CASINO"/>
    <n v="1"/>
    <x v="24"/>
  </r>
  <r>
    <d v="2024-11-13T00:00:00"/>
    <s v="9989011537"/>
    <s v="LIVERMORE CASINO"/>
    <n v="1"/>
    <x v="14"/>
  </r>
  <r>
    <d v="2024-11-13T00:00:00"/>
    <s v="9989011537"/>
    <s v="LIVERMORE CASINO"/>
    <n v="1"/>
    <x v="21"/>
  </r>
  <r>
    <d v="2024-11-13T00:00:00"/>
    <s v="9989011537"/>
    <s v="LIVERMORE CASINO"/>
    <n v="1"/>
    <x v="13"/>
  </r>
  <r>
    <d v="2024-11-13T00:00:00"/>
    <s v="9989011540"/>
    <s v="THE YARD"/>
    <n v="2"/>
    <x v="5"/>
  </r>
  <r>
    <d v="2024-11-13T00:00:00"/>
    <s v="9989011540"/>
    <s v="THE YARD"/>
    <n v="2"/>
    <x v="26"/>
  </r>
  <r>
    <d v="2024-11-13T00:00:00"/>
    <s v="9989011541"/>
    <s v="BEST WESTERN EL RANCHO INN"/>
    <n v="2"/>
    <x v="25"/>
  </r>
  <r>
    <d v="2024-11-13T00:00:00"/>
    <s v="9989011541"/>
    <s v="BEST WESTERN EL RANCHO INN"/>
    <n v="1"/>
    <x v="21"/>
  </r>
  <r>
    <d v="2024-11-13T00:00:00"/>
    <s v="9989011541"/>
    <s v="BEST WESTERN EL RANCHO INN"/>
    <n v="1"/>
    <x v="14"/>
  </r>
  <r>
    <d v="2024-11-13T00:00:00"/>
    <s v="9989011545"/>
    <s v="STARBIRD - TASTES ON THE FLY SF"/>
    <n v="2"/>
    <x v="8"/>
  </r>
  <r>
    <d v="2024-11-13T00:00:00"/>
    <s v="9989011545"/>
    <s v="STARBIRD - TASTES ON THE FLY SF"/>
    <n v="2"/>
    <x v="10"/>
  </r>
  <r>
    <d v="2024-11-13T00:00:00"/>
    <s v="9989011545"/>
    <s v="STARBIRD - TASTES ON THE FLY SF"/>
    <n v="2"/>
    <x v="5"/>
  </r>
  <r>
    <d v="2024-11-13T00:00:00"/>
    <s v="9989011545"/>
    <s v="STARBIRD - TASTES ON THE FLY SF"/>
    <n v="1"/>
    <x v="9"/>
  </r>
  <r>
    <d v="2024-11-13T00:00:00"/>
    <s v="9989011546"/>
    <s v="FACTION BREWING"/>
    <n v="4"/>
    <x v="4"/>
  </r>
  <r>
    <d v="2024-11-13T00:00:00"/>
    <s v="9989011547"/>
    <s v="STATE OF MIND PUBLIC HOUSE REDWOOD CITY"/>
    <n v="1"/>
    <x v="15"/>
  </r>
  <r>
    <d v="2024-11-13T00:00:00"/>
    <s v="9989011547"/>
    <s v="STATE OF MIND PUBLIC HOUSE REDWOOD CITY"/>
    <n v="1"/>
    <x v="19"/>
  </r>
  <r>
    <d v="2024-11-13T00:00:00"/>
    <s v="9989011549"/>
    <s v="THE MELT (STANFORD)"/>
    <n v="1"/>
    <x v="8"/>
  </r>
  <r>
    <d v="2024-11-13T00:00:00"/>
    <s v="9989011549"/>
    <s v="THE MELT (STANFORD)"/>
    <n v="1"/>
    <x v="9"/>
  </r>
  <r>
    <d v="2024-11-13T00:00:00"/>
    <s v="9989011549"/>
    <s v="THE MELT (STANFORD)"/>
    <n v="2"/>
    <x v="5"/>
  </r>
  <r>
    <d v="2024-11-13T00:00:00"/>
    <s v="9989011549"/>
    <s v="THE MELT (STANFORD)"/>
    <n v="1"/>
    <x v="9"/>
  </r>
  <r>
    <d v="2024-11-13T00:00:00"/>
    <s v="9989011550"/>
    <s v="STATE OF MIND SLICE HOUSE  (PALO ALTO)"/>
    <n v="1"/>
    <x v="8"/>
  </r>
  <r>
    <d v="2024-11-13T00:00:00"/>
    <s v="9989011550"/>
    <s v="STATE OF MIND SLICE HOUSE  (PALO ALTO)"/>
    <n v="1"/>
    <x v="12"/>
  </r>
  <r>
    <d v="2024-11-13T00:00:00"/>
    <s v="9989011550"/>
    <s v="STATE OF MIND SLICE HOUSE  (PALO ALTO)"/>
    <n v="1"/>
    <x v="7"/>
  </r>
  <r>
    <d v="2024-11-13T00:00:00"/>
    <s v="9989011550"/>
    <s v="STATE OF MIND SLICE HOUSE  (PALO ALTO)"/>
    <n v="1"/>
    <x v="17"/>
  </r>
  <r>
    <d v="2024-11-13T00:00:00"/>
    <s v="9989011551"/>
    <s v="STATE OF MIND PUBLIC HOUSE &amp; PIZZERIA (LOS ALTOS)"/>
    <n v="1"/>
    <x v="8"/>
  </r>
  <r>
    <d v="2024-11-13T00:00:00"/>
    <s v="9989011551"/>
    <s v="STATE OF MIND PUBLIC HOUSE &amp; PIZZERIA (LOS ALTOS)"/>
    <n v="1"/>
    <x v="15"/>
  </r>
  <r>
    <d v="2024-11-13T00:00:00"/>
    <s v="9989011551"/>
    <s v="STATE OF MIND PUBLIC HOUSE &amp; PIZZERIA (LOS ALTOS)"/>
    <n v="1"/>
    <x v="7"/>
  </r>
  <r>
    <d v="2024-11-13T00:00:00"/>
    <s v="9989011551"/>
    <s v="STATE OF MIND PUBLIC HOUSE &amp; PIZZERIA (LOS ALTOS)"/>
    <n v="1"/>
    <x v="9"/>
  </r>
  <r>
    <d v="2024-11-13T00:00:00"/>
    <s v="9989011552"/>
    <s v="MONTE CARLO"/>
    <n v="2"/>
    <x v="28"/>
  </r>
  <r>
    <d v="2024-11-13T00:00:00"/>
    <s v="9989011552"/>
    <s v="MONTE CARLO"/>
    <n v="2"/>
    <x v="14"/>
  </r>
  <r>
    <d v="2024-11-14T00:00:00"/>
    <s v="9989011553"/>
    <s v="ENCINAL MARKET"/>
    <n v="2"/>
    <x v="1"/>
  </r>
  <r>
    <d v="2024-11-14T00:00:00"/>
    <s v="9989011553"/>
    <s v="ENCINAL MARKET"/>
    <n v="1"/>
    <x v="4"/>
  </r>
  <r>
    <d v="2024-11-14T00:00:00"/>
    <s v="9989011554"/>
    <s v="SLICE HOUSE"/>
    <n v="1"/>
    <x v="12"/>
  </r>
  <r>
    <d v="2024-11-14T00:00:00"/>
    <s v="9989011554"/>
    <s v="SLICE HOUSE"/>
    <n v="1"/>
    <x v="5"/>
  </r>
  <r>
    <d v="2024-11-14T00:00:00"/>
    <s v="9989011554"/>
    <s v="SLICE HOUSE"/>
    <n v="1"/>
    <x v="15"/>
  </r>
  <r>
    <d v="2024-11-14T00:00:00"/>
    <s v="9989011555"/>
    <s v="OLD PRINCETON LANDING"/>
    <n v="2"/>
    <x v="12"/>
  </r>
  <r>
    <d v="2024-11-14T00:00:00"/>
    <s v="9989011555"/>
    <s v="OLD PRINCETON LANDING"/>
    <n v="1"/>
    <x v="29"/>
  </r>
  <r>
    <d v="2024-11-14T00:00:00"/>
    <s v="9989011556"/>
    <s v="THE MELT (SANTA CLARA 0045)"/>
    <n v="1"/>
    <x v="16"/>
  </r>
  <r>
    <d v="2024-11-14T00:00:00"/>
    <s v="9989011556"/>
    <s v="THE MELT (SANTA CLARA 0045)"/>
    <n v="1"/>
    <x v="8"/>
  </r>
  <r>
    <d v="2024-11-14T00:00:00"/>
    <s v="9989011556"/>
    <s v="THE MELT (SANTA CLARA 0045)"/>
    <n v="1"/>
    <x v="9"/>
  </r>
  <r>
    <d v="2024-11-14T00:00:00"/>
    <s v="9989011557"/>
    <s v="GOLD RUSH EATERY"/>
    <n v="1"/>
    <x v="17"/>
  </r>
  <r>
    <d v="2024-11-14T00:00:00"/>
    <s v="9989011557"/>
    <s v="GOLD RUSH EATERY"/>
    <n v="1"/>
    <x v="7"/>
  </r>
  <r>
    <d v="2024-11-14T00:00:00"/>
    <s v="9989011557"/>
    <s v="GOLD RUSH EATERY"/>
    <n v="1"/>
    <x v="14"/>
  </r>
  <r>
    <d v="2024-11-14T00:00:00"/>
    <s v="9989011557"/>
    <s v="GOLD RUSH EATERY"/>
    <n v="1"/>
    <x v="1"/>
  </r>
  <r>
    <d v="2024-11-14T00:00:00"/>
    <s v="9989011557"/>
    <s v="GOLD RUSH EATERY"/>
    <n v="1"/>
    <x v="4"/>
  </r>
  <r>
    <d v="2024-11-14T00:00:00"/>
    <s v="9989011558"/>
    <s v="THE MELT (SUNNYVALE #0043)"/>
    <n v="1"/>
    <x v="8"/>
  </r>
  <r>
    <d v="2024-11-14T00:00:00"/>
    <s v="9989011558"/>
    <s v="THE MELT (SUNNYVALE #0043)"/>
    <n v="1"/>
    <x v="12"/>
  </r>
  <r>
    <d v="2024-11-14T00:00:00"/>
    <s v="9989011558"/>
    <s v="THE MELT (SUNNYVALE #0043)"/>
    <n v="2"/>
    <x v="5"/>
  </r>
  <r>
    <d v="2024-11-14T00:00:00"/>
    <s v="9989011559"/>
    <s v="STARBIRD CHICKEN - SAN JOSE"/>
    <n v="1"/>
    <x v="8"/>
  </r>
  <r>
    <d v="2024-11-14T00:00:00"/>
    <s v="9989011559"/>
    <s v="STARBIRD CHICKEN - SAN JOSE"/>
    <n v="1"/>
    <x v="12"/>
  </r>
  <r>
    <d v="2024-11-14T00:00:00"/>
    <s v="9989011559"/>
    <s v="STARBIRD CHICKEN - SAN JOSE"/>
    <n v="1"/>
    <x v="10"/>
  </r>
  <r>
    <d v="2024-11-14T00:00:00"/>
    <s v="9989011559"/>
    <s v="STARBIRD CHICKEN - SAN JOSE"/>
    <n v="1"/>
    <x v="11"/>
  </r>
  <r>
    <d v="2024-11-14T00:00:00"/>
    <s v="9989011559"/>
    <s v="STARBIRD CHICKEN - SAN JOSE"/>
    <n v="1"/>
    <x v="4"/>
  </r>
  <r>
    <d v="2024-11-14T00:00:00"/>
    <s v="9989011559"/>
    <s v="STARBIRD CHICKEN - SAN JOSE"/>
    <n v="1"/>
    <x v="1"/>
  </r>
  <r>
    <d v="2024-11-14T00:00:00"/>
    <s v="9989011560"/>
    <s v="HOMEROOM - OAKLAND"/>
    <n v="2"/>
    <x v="15"/>
  </r>
  <r>
    <d v="2024-11-14T00:00:00"/>
    <s v="9989011560"/>
    <s v="HOMEROOM - OAKLAND"/>
    <n v="2"/>
    <x v="5"/>
  </r>
  <r>
    <d v="2024-11-14T00:00:00"/>
    <s v="9989011560"/>
    <s v="HOMEROOM - OAKLAND"/>
    <n v="1"/>
    <x v="12"/>
  </r>
  <r>
    <d v="2024-11-14T00:00:00"/>
    <s v="9989011561"/>
    <s v="SCOMAS RESTAURANT"/>
    <n v="2"/>
    <x v="8"/>
  </r>
  <r>
    <d v="2024-11-14T00:00:00"/>
    <s v="9989011561"/>
    <s v="SCOMAS RESTAURANT"/>
    <n v="1"/>
    <x v="18"/>
  </r>
  <r>
    <d v="2024-11-14T00:00:00"/>
    <s v="9989011562"/>
    <s v="EL TENAMPA"/>
    <n v="2"/>
    <x v="28"/>
  </r>
  <r>
    <d v="2024-11-14T00:00:00"/>
    <s v="9989011562"/>
    <s v="EL TENAMPA"/>
    <n v="1"/>
    <x v="14"/>
  </r>
  <r>
    <d v="2024-11-14T00:00:00"/>
    <s v="9989011563"/>
    <s v="CIGAR BAR AND GRILL"/>
    <n v="1"/>
    <x v="19"/>
  </r>
  <r>
    <d v="2024-11-14T00:00:00"/>
    <s v="9989011563"/>
    <s v="CIGAR BAR AND GRILL"/>
    <n v="1"/>
    <x v="8"/>
  </r>
  <r>
    <d v="2024-11-14T00:00:00"/>
    <s v="9989011563"/>
    <s v="CIGAR BAR AND GRILL"/>
    <n v="1"/>
    <x v="15"/>
  </r>
  <r>
    <d v="2024-11-14T00:00:00"/>
    <s v="9989011563"/>
    <s v="CIGAR BAR AND GRILL"/>
    <n v="1"/>
    <x v="18"/>
  </r>
  <r>
    <d v="2024-11-14T00:00:00"/>
    <s v="9989011563"/>
    <s v="CIGAR BAR AND GRILL"/>
    <n v="1"/>
    <x v="14"/>
  </r>
  <r>
    <d v="2024-11-14T00:00:00"/>
    <s v="9989011564"/>
    <s v="UNION STREET ALE HOUSE"/>
    <n v="1"/>
    <x v="8"/>
  </r>
  <r>
    <d v="2024-11-14T00:00:00"/>
    <s v="9989011564"/>
    <s v="UNION STREET ALE HOUSE"/>
    <n v="1"/>
    <x v="10"/>
  </r>
  <r>
    <d v="2024-11-14T00:00:00"/>
    <s v="9989011565"/>
    <s v="MARTUNIS"/>
    <n v="1"/>
    <x v="8"/>
  </r>
  <r>
    <d v="2024-11-14T00:00:00"/>
    <s v="9989011565"/>
    <s v="MARTUNIS"/>
    <n v="1"/>
    <x v="15"/>
  </r>
  <r>
    <d v="2024-11-14T00:00:00"/>
    <s v="9989011565"/>
    <s v="MARTUNIS"/>
    <n v="1"/>
    <x v="12"/>
  </r>
  <r>
    <d v="2024-11-14T00:00:00"/>
    <s v="9989011565"/>
    <s v="MARTUNIS"/>
    <n v="1"/>
    <x v="18"/>
  </r>
  <r>
    <d v="2024-11-14T00:00:00"/>
    <s v="9989011567"/>
    <s v="ALAMEDA CINEMA GRILL"/>
    <n v="1"/>
    <x v="8"/>
  </r>
  <r>
    <d v="2024-11-14T00:00:00"/>
    <s v="9989011567"/>
    <s v="ALAMEDA CINEMA GRILL"/>
    <n v="1"/>
    <x v="24"/>
  </r>
  <r>
    <d v="2024-11-14T00:00:00"/>
    <s v="9989011567"/>
    <s v="ALAMEDA CINEMA GRILL"/>
    <n v="1"/>
    <x v="10"/>
  </r>
  <r>
    <d v="2024-11-14T00:00:00"/>
    <s v="9989011567"/>
    <s v="ALAMEDA CINEMA GRILL"/>
    <n v="1"/>
    <x v="12"/>
  </r>
  <r>
    <d v="2024-11-14T00:00:00"/>
    <s v="9989011568"/>
    <s v="LUCKY 13"/>
    <n v="1"/>
    <x v="8"/>
  </r>
  <r>
    <d v="2024-11-14T00:00:00"/>
    <s v="9989011568"/>
    <s v="LUCKY 13"/>
    <n v="1"/>
    <x v="19"/>
  </r>
  <r>
    <d v="2024-11-14T00:00:00"/>
    <s v="9989011568"/>
    <s v="LUCKY 13"/>
    <n v="1"/>
    <x v="10"/>
  </r>
  <r>
    <d v="2024-11-14T00:00:00"/>
    <s v="9989011568"/>
    <s v="LUCKY 13"/>
    <n v="1"/>
    <x v="12"/>
  </r>
  <r>
    <d v="2024-11-14T00:00:00"/>
    <s v="9989011569"/>
    <s v="SCOLARIS ON PARK ST"/>
    <n v="5"/>
    <x v="4"/>
  </r>
  <r>
    <d v="2024-11-14T00:00:00"/>
    <s v="9989011569"/>
    <s v="SCOLARIS ON PARK ST"/>
    <n v="5"/>
    <x v="1"/>
  </r>
  <r>
    <d v="2024-11-14T00:00:00"/>
    <s v="9989011569"/>
    <s v="SCOLARIS ON PARK ST"/>
    <n v="3"/>
    <x v="11"/>
  </r>
  <r>
    <d v="2024-11-15T00:00:00"/>
    <s v="9989011570"/>
    <s v="STARBIRD CHICKEN - CORTE MADERA"/>
    <n v="2"/>
    <x v="8"/>
  </r>
  <r>
    <d v="2024-11-15T00:00:00"/>
    <s v="9989011570"/>
    <s v="STARBIRD CHICKEN - CORTE MADERA"/>
    <n v="1"/>
    <x v="15"/>
  </r>
  <r>
    <d v="2024-11-15T00:00:00"/>
    <s v="9989011570"/>
    <s v="STARBIRD CHICKEN - CORTE MADERA"/>
    <n v="2"/>
    <x v="12"/>
  </r>
  <r>
    <d v="2024-11-15T00:00:00"/>
    <s v="9989011570"/>
    <s v="STARBIRD CHICKEN - CORTE MADERA"/>
    <n v="1"/>
    <x v="5"/>
  </r>
  <r>
    <d v="2024-11-15T00:00:00"/>
    <s v="9989011570"/>
    <s v="STARBIRD CHICKEN - CORTE MADERA"/>
    <n v="1"/>
    <x v="17"/>
  </r>
  <r>
    <d v="2024-11-15T00:00:00"/>
    <s v="9989011570"/>
    <s v="STARBIRD CHICKEN - CORTE MADERA"/>
    <n v="1"/>
    <x v="23"/>
  </r>
  <r>
    <d v="2024-11-15T00:00:00"/>
    <s v="9989011570"/>
    <s v="STARBIRD CHICKEN - CORTE MADERA"/>
    <n v="1"/>
    <x v="10"/>
  </r>
  <r>
    <d v="2024-11-15T00:00:00"/>
    <s v="9989011570"/>
    <s v="STARBIRD CHICKEN - CORTE MADERA"/>
    <n v="2"/>
    <x v="1"/>
  </r>
  <r>
    <d v="2024-11-15T00:00:00"/>
    <s v="9989011570"/>
    <s v="STARBIRD CHICKEN - CORTE MADERA"/>
    <n v="1"/>
    <x v="11"/>
  </r>
  <r>
    <d v="2024-11-15T00:00:00"/>
    <s v="9989011570"/>
    <s v="STARBIRD CHICKEN - CORTE MADERA"/>
    <n v="1"/>
    <x v="4"/>
  </r>
  <r>
    <d v="2024-11-15T00:00:00"/>
    <s v="9989011573"/>
    <s v="BREWSTERS BEER GARDEN LLC"/>
    <n v="4"/>
    <x v="8"/>
  </r>
  <r>
    <d v="2024-11-15T00:00:00"/>
    <s v="9989011573"/>
    <s v="BREWSTERS BEER GARDEN LLC"/>
    <n v="3"/>
    <x v="12"/>
  </r>
  <r>
    <d v="2024-11-15T00:00:00"/>
    <s v="9989011573"/>
    <s v="BREWSTERS BEER GARDEN LLC"/>
    <n v="3"/>
    <x v="15"/>
  </r>
  <r>
    <d v="2024-11-15T00:00:00"/>
    <s v="9989011573"/>
    <s v="BREWSTERS BEER GARDEN LLC"/>
    <n v="3"/>
    <x v="10"/>
  </r>
  <r>
    <d v="2024-11-15T00:00:00"/>
    <s v="9989011573"/>
    <s v="BREWSTERS BEER GARDEN LLC"/>
    <n v="3"/>
    <x v="17"/>
  </r>
  <r>
    <d v="2024-11-15T00:00:00"/>
    <s v="9989011573"/>
    <s v="BREWSTERS BEER GARDEN LLC"/>
    <n v="2"/>
    <x v="16"/>
  </r>
  <r>
    <d v="2024-11-15T00:00:00"/>
    <s v="9989011573"/>
    <s v="BREWSTERS BEER GARDEN LLC"/>
    <n v="1"/>
    <x v="18"/>
  </r>
  <r>
    <d v="2024-11-15T00:00:00"/>
    <s v="9989011574"/>
    <s v="HOLE IN THE WALL"/>
    <n v="1"/>
    <x v="12"/>
  </r>
  <r>
    <d v="2024-11-15T00:00:00"/>
    <s v="9989011575"/>
    <s v="THE STUD"/>
    <n v="1"/>
    <x v="15"/>
  </r>
  <r>
    <d v="2024-11-15T00:00:00"/>
    <s v="9989011575"/>
    <s v="THE STUD"/>
    <n v="1"/>
    <x v="10"/>
  </r>
  <r>
    <d v="2024-11-15T00:00:00"/>
    <s v="9989011576"/>
    <s v="MONROE"/>
    <n v="1"/>
    <x v="8"/>
  </r>
  <r>
    <d v="2024-11-15T00:00:00"/>
    <s v="9989011576"/>
    <s v="MONROE"/>
    <n v="1"/>
    <x v="18"/>
  </r>
  <r>
    <d v="2024-11-15T00:00:00"/>
    <s v="9989011576"/>
    <s v="MONROE"/>
    <n v="1"/>
    <x v="28"/>
  </r>
  <r>
    <d v="2024-11-15T00:00:00"/>
    <s v="9989011576"/>
    <s v="MONROE"/>
    <n v="2"/>
    <x v="14"/>
  </r>
  <r>
    <d v="2024-11-15T00:00:00"/>
    <s v="9989011576"/>
    <s v="MONROE"/>
    <n v="1"/>
    <x v="19"/>
  </r>
  <r>
    <d v="2024-11-15T00:00:00"/>
    <s v="9989011577"/>
    <s v="THE RED ONION - EL CERRITO"/>
    <n v="1"/>
    <x v="5"/>
  </r>
  <r>
    <d v="2024-11-15T00:00:00"/>
    <s v="9989011577"/>
    <s v="THE RED ONION - EL CERRITO"/>
    <n v="1"/>
    <x v="12"/>
  </r>
  <r>
    <d v="2024-11-15T00:00:00"/>
    <s v="9989011577"/>
    <s v="THE RED ONION - EL CERRITO"/>
    <n v="1"/>
    <x v="7"/>
  </r>
  <r>
    <d v="2024-11-15T00:00:00"/>
    <s v="9989011578"/>
    <s v="CALI'S SPORTS BAR"/>
    <n v="3"/>
    <x v="8"/>
  </r>
  <r>
    <d v="2024-11-15T00:00:00"/>
    <s v="9989011578"/>
    <s v="CALI'S SPORTS BAR"/>
    <n v="2"/>
    <x v="15"/>
  </r>
  <r>
    <d v="2024-11-15T00:00:00"/>
    <s v="9989011581"/>
    <s v="VICTORS BAR"/>
    <n v="1"/>
    <x v="14"/>
  </r>
  <r>
    <d v="2024-11-15T00:00:00"/>
    <s v="9989011581"/>
    <s v="VICTORS BAR"/>
    <n v="1"/>
    <x v="28"/>
  </r>
  <r>
    <d v="2024-11-15T00:00:00"/>
    <s v="9989011584"/>
    <s v="SIDESTREET PHO"/>
    <n v="1"/>
    <x v="29"/>
  </r>
  <r>
    <d v="2024-11-15T00:00:00"/>
    <s v="9989011584"/>
    <s v="SIDESTREET PHO"/>
    <n v="1"/>
    <x v="12"/>
  </r>
  <r>
    <d v="2024-11-15T00:00:00"/>
    <s v="9989011584"/>
    <s v="SIDESTREET PHO"/>
    <n v="1"/>
    <x v="5"/>
  </r>
  <r>
    <d v="2024-11-15T00:00:00"/>
    <s v="9989011584"/>
    <s v="SIDESTREET PHO"/>
    <n v="1"/>
    <x v="8"/>
  </r>
  <r>
    <d v="2024-11-18T00:00:00"/>
    <s v="9989011587"/>
    <s v="THE MELT (FOLSOM)"/>
    <n v="3"/>
    <x v="16"/>
  </r>
  <r>
    <d v="2024-11-18T00:00:00"/>
    <s v="9989011587"/>
    <s v="THE MELT (FOLSOM)"/>
    <n v="5"/>
    <x v="8"/>
  </r>
  <r>
    <d v="2024-11-18T00:00:00"/>
    <s v="9989011587"/>
    <s v="THE MELT (FOLSOM)"/>
    <n v="5"/>
    <x v="15"/>
  </r>
  <r>
    <d v="2024-11-18T00:00:00"/>
    <s v="9989011587"/>
    <s v="THE MELT (FOLSOM)"/>
    <n v="3"/>
    <x v="10"/>
  </r>
  <r>
    <d v="2024-11-18T00:00:00"/>
    <s v="9989011587"/>
    <s v="THE MELT (FOLSOM)"/>
    <n v="3"/>
    <x v="12"/>
  </r>
  <r>
    <d v="2024-11-18T00:00:00"/>
    <s v="9989011587"/>
    <s v="THE MELT (FOLSOM)"/>
    <n v="4"/>
    <x v="9"/>
  </r>
  <r>
    <d v="2024-11-18T00:00:00"/>
    <s v="9989011587"/>
    <s v="THE MELT (FOLSOM)"/>
    <n v="5"/>
    <x v="5"/>
  </r>
  <r>
    <d v="2024-11-18T00:00:00"/>
    <s v="9989011588"/>
    <s v="THE MELT (SACRAMENTO-BLVD)"/>
    <n v="5"/>
    <x v="8"/>
  </r>
  <r>
    <d v="2024-11-18T00:00:00"/>
    <s v="9989011588"/>
    <s v="THE MELT (SACRAMENTO-BLVD)"/>
    <n v="4"/>
    <x v="15"/>
  </r>
  <r>
    <d v="2024-11-18T00:00:00"/>
    <s v="9989011588"/>
    <s v="THE MELT (SACRAMENTO-BLVD)"/>
    <n v="5"/>
    <x v="16"/>
  </r>
  <r>
    <d v="2024-11-18T00:00:00"/>
    <s v="9989011588"/>
    <s v="THE MELT (SACRAMENTO-BLVD)"/>
    <n v="3"/>
    <x v="9"/>
  </r>
  <r>
    <d v="2024-11-18T00:00:00"/>
    <s v="9989011588"/>
    <s v="THE MELT (SACRAMENTO-BLVD)"/>
    <n v="3"/>
    <x v="10"/>
  </r>
  <r>
    <d v="2024-11-18T00:00:00"/>
    <s v="9989011588"/>
    <s v="THE MELT (SACRAMENTO-BLVD)"/>
    <n v="3"/>
    <x v="12"/>
  </r>
  <r>
    <d v="2024-11-19T00:00:00"/>
    <s v="9989011589"/>
    <s v="PIXAR ANIMATION STUDIOS"/>
    <n v="2"/>
    <x v="10"/>
  </r>
  <r>
    <d v="2024-11-19T00:00:00"/>
    <s v="9989011589"/>
    <s v="PIXAR ANIMATION STUDIOS"/>
    <n v="2"/>
    <x v="12"/>
  </r>
  <r>
    <d v="2024-11-19T00:00:00"/>
    <s v="9989011589"/>
    <s v="PIXAR ANIMATION STUDIOS"/>
    <n v="3"/>
    <x v="7"/>
  </r>
  <r>
    <d v="2024-11-19T00:00:00"/>
    <s v="9989011590"/>
    <s v="THE DEAD FISH"/>
    <n v="2"/>
    <x v="24"/>
  </r>
  <r>
    <d v="2024-11-19T00:00:00"/>
    <s v="9989011590"/>
    <s v="THE DEAD FISH"/>
    <n v="2"/>
    <x v="7"/>
  </r>
  <r>
    <d v="2024-11-19T00:00:00"/>
    <s v="9989011590"/>
    <s v="THE DEAD FISH"/>
    <n v="1"/>
    <x v="14"/>
  </r>
  <r>
    <d v="2024-11-19T00:00:00"/>
    <s v="9989011592"/>
    <s v="THE FACTORY BAR"/>
    <n v="1"/>
    <x v="12"/>
  </r>
  <r>
    <d v="2024-11-19T00:00:00"/>
    <s v="9989011594"/>
    <s v="THE MELT (455 MARKET)"/>
    <n v="2"/>
    <x v="8"/>
  </r>
  <r>
    <d v="2024-11-19T00:00:00"/>
    <s v="9989011594"/>
    <s v="THE MELT (455 MARKET)"/>
    <n v="1"/>
    <x v="5"/>
  </r>
  <r>
    <d v="2024-11-19T00:00:00"/>
    <s v="9989011594"/>
    <s v="THE MELT (455 MARKET)"/>
    <n v="1"/>
    <x v="9"/>
  </r>
  <r>
    <d v="2024-11-19T00:00:00"/>
    <s v="9989011594"/>
    <s v="THE MELT (455 MARKET)"/>
    <n v="1"/>
    <x v="12"/>
  </r>
  <r>
    <d v="2024-11-19T00:00:00"/>
    <s v="9989011594"/>
    <s v="THE MELT (455 MARKET)"/>
    <n v="2"/>
    <x v="15"/>
  </r>
  <r>
    <d v="2024-11-19T00:00:00"/>
    <s v="9989011594"/>
    <s v="THE MELT (455 MARKET)"/>
    <n v="1"/>
    <x v="10"/>
  </r>
  <r>
    <d v="2024-11-19T00:00:00"/>
    <s v="9989011595"/>
    <s v="SCOMAS RESTAURANT"/>
    <n v="1"/>
    <x v="15"/>
  </r>
  <r>
    <d v="2024-11-19T00:00:00"/>
    <s v="9989011595"/>
    <s v="SCOMAS RESTAURANT"/>
    <n v="1"/>
    <x v="8"/>
  </r>
  <r>
    <d v="2024-11-19T00:00:00"/>
    <s v="9989011595"/>
    <s v="SCOMAS RESTAURANT"/>
    <n v="2"/>
    <x v="14"/>
  </r>
  <r>
    <d v="2024-11-19T00:00:00"/>
    <s v="9989011596"/>
    <s v="CLUB MALLARD"/>
    <n v="1"/>
    <x v="14"/>
  </r>
  <r>
    <d v="2024-11-19T00:00:00"/>
    <s v="9989011597"/>
    <s v="CROWN BAR (LAMA BAR)"/>
    <n v="1"/>
    <x v="14"/>
  </r>
  <r>
    <d v="2024-11-19T00:00:00"/>
    <s v="9989011597"/>
    <s v="CROWN BAR (LAMA BAR)"/>
    <n v="1"/>
    <x v="8"/>
  </r>
  <r>
    <d v="2024-11-19T00:00:00"/>
    <s v="9989011597"/>
    <s v="CROWN BAR (LAMA BAR)"/>
    <n v="1"/>
    <x v="12"/>
  </r>
  <r>
    <d v="2024-11-19T00:00:00"/>
    <s v="9989011598"/>
    <s v="THE COMET"/>
    <n v="1"/>
    <x v="7"/>
  </r>
  <r>
    <d v="2024-11-19T00:00:00"/>
    <s v="9989011599"/>
    <s v="STARBIRD CHICKEN - SF CLOUD"/>
    <n v="2"/>
    <x v="4"/>
  </r>
  <r>
    <d v="2024-11-19T00:00:00"/>
    <s v="9989011599"/>
    <s v="STARBIRD CHICKEN - SF CLOUD"/>
    <n v="2"/>
    <x v="1"/>
  </r>
  <r>
    <d v="2024-11-19T00:00:00"/>
    <s v="9989011599"/>
    <s v="STARBIRD CHICKEN - SF CLOUD"/>
    <n v="2"/>
    <x v="11"/>
  </r>
  <r>
    <d v="2024-11-19T00:00:00"/>
    <s v="9989011599"/>
    <s v="STARBIRD CHICKEN - SF CLOUD"/>
    <n v="6"/>
    <x v="3"/>
  </r>
  <r>
    <d v="2024-11-19T00:00:00"/>
    <s v="9989011600"/>
    <s v="BERKELEY TAP HAUS"/>
    <n v="1"/>
    <x v="18"/>
  </r>
  <r>
    <d v="2024-11-19T00:00:00"/>
    <s v="9989011600"/>
    <s v="BERKELEY TAP HAUS"/>
    <n v="1"/>
    <x v="8"/>
  </r>
  <r>
    <d v="2024-11-19T00:00:00"/>
    <s v="9989011601"/>
    <s v="UCSF MEDICAL CENTER MISSION BAY"/>
    <n v="2"/>
    <x v="25"/>
  </r>
  <r>
    <d v="2024-11-19T00:00:00"/>
    <s v="9989011601"/>
    <s v="UCSF MEDICAL CENTER MISSION BAY"/>
    <n v="2"/>
    <x v="32"/>
  </r>
  <r>
    <d v="2024-11-19T00:00:00"/>
    <s v="9989011601"/>
    <s v="UCSF MEDICAL CENTER MISSION BAY"/>
    <n v="2"/>
    <x v="24"/>
  </r>
  <r>
    <d v="2024-11-19T00:00:00"/>
    <s v="9989011601"/>
    <s v="UCSF MEDICAL CENTER MISSION BAY"/>
    <n v="2"/>
    <x v="33"/>
  </r>
  <r>
    <d v="2024-11-19T00:00:00"/>
    <s v="9989011601"/>
    <s v="UCSF MEDICAL CENTER MISSION BAY"/>
    <n v="2"/>
    <x v="31"/>
  </r>
  <r>
    <d v="2024-11-19T00:00:00"/>
    <s v="9989011602"/>
    <s v="BRIX HOUSE ACCOUNT"/>
    <n v="1"/>
    <x v="3"/>
  </r>
  <r>
    <d v="2024-11-19T00:00:00"/>
    <s v="9989011603"/>
    <s v="DRAKES DEALERSHIP"/>
    <n v="1"/>
    <x v="26"/>
  </r>
  <r>
    <d v="2024-11-19T00:00:00"/>
    <s v="9989011603"/>
    <s v="DRAKES DEALERSHIP"/>
    <n v="2"/>
    <x v="13"/>
  </r>
  <r>
    <d v="2024-11-19T00:00:00"/>
    <s v="9989011603"/>
    <s v="DRAKES DEALERSHIP"/>
    <n v="3"/>
    <x v="10"/>
  </r>
  <r>
    <d v="2024-11-19T00:00:00"/>
    <s v="9989011604"/>
    <s v="NEW PARISH BAR"/>
    <n v="2"/>
    <x v="28"/>
  </r>
  <r>
    <d v="2024-11-19T00:00:00"/>
    <s v="9989011604"/>
    <s v="NEW PARISH BAR"/>
    <n v="2"/>
    <x v="12"/>
  </r>
  <r>
    <d v="2024-11-19T00:00:00"/>
    <s v="9989011604"/>
    <s v="NEW PARISH BAR"/>
    <n v="2"/>
    <x v="8"/>
  </r>
  <r>
    <d v="2024-11-19T00:00:00"/>
    <s v="9989011604"/>
    <s v="NEW PARISH BAR"/>
    <n v="2"/>
    <x v="22"/>
  </r>
  <r>
    <d v="2024-11-19T00:00:00"/>
    <s v="9989011604"/>
    <s v="NEW PARISH BAR"/>
    <n v="2"/>
    <x v="10"/>
  </r>
  <r>
    <d v="2024-11-19T00:00:00"/>
    <s v="9989011606"/>
    <s v="STARBIRD CHICKEN - SOUTH SAN FRANCISCO"/>
    <n v="4"/>
    <x v="8"/>
  </r>
  <r>
    <d v="2024-11-19T00:00:00"/>
    <s v="9989011606"/>
    <s v="STARBIRD CHICKEN - SOUTH SAN FRANCISCO"/>
    <n v="2"/>
    <x v="15"/>
  </r>
  <r>
    <d v="2024-11-19T00:00:00"/>
    <s v="9989011606"/>
    <s v="STARBIRD CHICKEN - SOUTH SAN FRANCISCO"/>
    <n v="2"/>
    <x v="17"/>
  </r>
  <r>
    <d v="2024-11-19T00:00:00"/>
    <s v="9989011606"/>
    <s v="STARBIRD CHICKEN - SOUTH SAN FRANCISCO"/>
    <n v="2"/>
    <x v="5"/>
  </r>
  <r>
    <d v="2024-11-19T00:00:00"/>
    <s v="9989011606"/>
    <s v="STARBIRD CHICKEN - SOUTH SAN FRANCISCO"/>
    <n v="2"/>
    <x v="12"/>
  </r>
  <r>
    <d v="2024-11-19T00:00:00"/>
    <s v="9989011606"/>
    <s v="STARBIRD CHICKEN - SOUTH SAN FRANCISCO"/>
    <n v="3"/>
    <x v="10"/>
  </r>
  <r>
    <d v="2024-11-19T00:00:00"/>
    <s v="9989011606"/>
    <s v="STARBIRD CHICKEN - SOUTH SAN FRANCISCO"/>
    <n v="3"/>
    <x v="1"/>
  </r>
  <r>
    <d v="2024-11-19T00:00:00"/>
    <s v="9989011606"/>
    <s v="STARBIRD CHICKEN - SOUTH SAN FRANCISCO"/>
    <n v="2"/>
    <x v="11"/>
  </r>
  <r>
    <d v="2024-11-19T00:00:00"/>
    <s v="9989011606"/>
    <s v="STARBIRD CHICKEN - SOUTH SAN FRANCISCO"/>
    <n v="3"/>
    <x v="4"/>
  </r>
  <r>
    <d v="2024-11-19T00:00:00"/>
    <s v="9989011606"/>
    <s v="STARBIRD CHICKEN - SOUTH SAN FRANCISCO"/>
    <n v="1"/>
    <x v="3"/>
  </r>
  <r>
    <d v="2024-11-19T00:00:00"/>
    <s v="9989011608"/>
    <s v="ELKS LODGE SSF #2091"/>
    <n v="2"/>
    <x v="12"/>
  </r>
  <r>
    <d v="2024-11-19T00:00:00"/>
    <s v="9989011608"/>
    <s v="ELKS LODGE SSF #2091"/>
    <n v="1"/>
    <x v="8"/>
  </r>
  <r>
    <d v="2024-11-19T00:00:00"/>
    <s v="9989011608"/>
    <s v="ELKS LODGE SSF #2091"/>
    <n v="2"/>
    <x v="15"/>
  </r>
  <r>
    <d v="2024-11-19T00:00:00"/>
    <s v="9989011608"/>
    <s v="ELKS LODGE SSF #2091"/>
    <n v="1"/>
    <x v="19"/>
  </r>
  <r>
    <d v="2024-11-19T00:00:00"/>
    <s v="9989011608"/>
    <s v="ELKS LODGE SSF #2091"/>
    <n v="2"/>
    <x v="14"/>
  </r>
  <r>
    <d v="2024-11-19T00:00:00"/>
    <s v="9989011608"/>
    <s v="ELKS LODGE SSF #2091"/>
    <n v="2"/>
    <x v="18"/>
  </r>
  <r>
    <d v="2024-11-19T00:00:00"/>
    <s v="9989011610"/>
    <s v="THE MELT (IRVINE SPECTRUM)"/>
    <n v="2"/>
    <x v="16"/>
  </r>
  <r>
    <d v="2024-11-19T00:00:00"/>
    <s v="9989011610"/>
    <s v="THE MELT (IRVINE SPECTRUM)"/>
    <n v="5"/>
    <x v="8"/>
  </r>
  <r>
    <d v="2024-11-19T00:00:00"/>
    <s v="9989011610"/>
    <s v="THE MELT (IRVINE SPECTRUM)"/>
    <n v="3"/>
    <x v="15"/>
  </r>
  <r>
    <d v="2024-11-19T00:00:00"/>
    <s v="9989011610"/>
    <s v="THE MELT (IRVINE SPECTRUM)"/>
    <n v="3"/>
    <x v="12"/>
  </r>
  <r>
    <d v="2024-11-19T00:00:00"/>
    <s v="9989011610"/>
    <s v="THE MELT (IRVINE SPECTRUM)"/>
    <n v="1"/>
    <x v="9"/>
  </r>
  <r>
    <d v="2024-11-19T00:00:00"/>
    <s v="9989011610"/>
    <s v="THE MELT (IRVINE SPECTRUM)"/>
    <n v="2"/>
    <x v="5"/>
  </r>
  <r>
    <d v="2024-11-20T00:00:00"/>
    <s v="9989011611"/>
    <s v="ITALIAN COLORS"/>
    <n v="1"/>
    <x v="8"/>
  </r>
  <r>
    <d v="2024-11-20T00:00:00"/>
    <s v="9989011611"/>
    <s v="ITALIAN COLORS"/>
    <n v="1"/>
    <x v="12"/>
  </r>
  <r>
    <d v="2024-11-20T00:00:00"/>
    <s v="9989011611"/>
    <s v="ITALIAN COLORS"/>
    <n v="1"/>
    <x v="14"/>
  </r>
  <r>
    <d v="2024-11-20T00:00:00"/>
    <s v="9989011611"/>
    <s v="ITALIAN COLORS"/>
    <n v="1"/>
    <x v="18"/>
  </r>
  <r>
    <d v="2024-11-20T00:00:00"/>
    <s v="9989011612"/>
    <s v="CANYON CLUB BREWERY"/>
    <n v="1"/>
    <x v="12"/>
  </r>
  <r>
    <d v="2024-11-20T00:00:00"/>
    <s v="9989011612"/>
    <s v="CANYON CLUB BREWERY"/>
    <n v="1"/>
    <x v="7"/>
  </r>
  <r>
    <d v="2024-11-20T00:00:00"/>
    <s v="9989011613"/>
    <s v="OAKWOOD ATHLETIC CLUB"/>
    <n v="1"/>
    <x v="30"/>
  </r>
  <r>
    <d v="2024-11-20T00:00:00"/>
    <s v="9989011614"/>
    <s v="STARBIRD CHICKEN - WALNUT CREEK"/>
    <n v="2"/>
    <x v="8"/>
  </r>
  <r>
    <d v="2024-11-20T00:00:00"/>
    <s v="9989011614"/>
    <s v="STARBIRD CHICKEN - WALNUT CREEK"/>
    <n v="1"/>
    <x v="15"/>
  </r>
  <r>
    <d v="2024-11-20T00:00:00"/>
    <s v="9989011614"/>
    <s v="STARBIRD CHICKEN - WALNUT CREEK"/>
    <n v="1"/>
    <x v="12"/>
  </r>
  <r>
    <d v="2024-11-20T00:00:00"/>
    <s v="9989011614"/>
    <s v="STARBIRD CHICKEN - WALNUT CREEK"/>
    <n v="1"/>
    <x v="5"/>
  </r>
  <r>
    <d v="2024-11-20T00:00:00"/>
    <s v="9989011614"/>
    <s v="STARBIRD CHICKEN - WALNUT CREEK"/>
    <n v="1"/>
    <x v="23"/>
  </r>
  <r>
    <d v="2024-11-20T00:00:00"/>
    <s v="9989011614"/>
    <s v="STARBIRD CHICKEN - WALNUT CREEK"/>
    <n v="3"/>
    <x v="1"/>
  </r>
  <r>
    <d v="2024-11-20T00:00:00"/>
    <s v="9989011614"/>
    <s v="STARBIRD CHICKEN - WALNUT CREEK"/>
    <n v="1"/>
    <x v="11"/>
  </r>
  <r>
    <d v="2024-11-20T00:00:00"/>
    <s v="9989011614"/>
    <s v="STARBIRD CHICKEN - WALNUT CREEK"/>
    <n v="1"/>
    <x v="4"/>
  </r>
  <r>
    <d v="2024-11-20T00:00:00"/>
    <s v="9989011615"/>
    <s v="THE MELT (DANVILLE)"/>
    <n v="1"/>
    <x v="15"/>
  </r>
  <r>
    <d v="2024-11-20T00:00:00"/>
    <s v="9989011615"/>
    <s v="THE MELT (DANVILLE)"/>
    <n v="1"/>
    <x v="9"/>
  </r>
  <r>
    <d v="2024-11-20T00:00:00"/>
    <s v="9989011615"/>
    <s v="THE MELT (DANVILLE)"/>
    <n v="1"/>
    <x v="5"/>
  </r>
  <r>
    <d v="2024-11-20T00:00:00"/>
    <s v="9989011615"/>
    <s v="THE MELT (DANVILLE)"/>
    <n v="1"/>
    <x v="10"/>
  </r>
  <r>
    <d v="2024-11-20T00:00:00"/>
    <s v="9989011616"/>
    <s v="ELLIOTTS"/>
    <n v="1"/>
    <x v="8"/>
  </r>
  <r>
    <d v="2024-11-20T00:00:00"/>
    <s v="9989011617"/>
    <s v="DANVILLE BREWERY"/>
    <n v="1"/>
    <x v="13"/>
  </r>
  <r>
    <d v="2024-11-20T00:00:00"/>
    <s v="9989011617"/>
    <s v="DANVILLE BREWERY"/>
    <n v="1"/>
    <x v="14"/>
  </r>
  <r>
    <d v="2024-11-20T00:00:00"/>
    <s v="9989011617"/>
    <s v="DANVILLE BREWERY"/>
    <n v="1"/>
    <x v="5"/>
  </r>
  <r>
    <d v="2024-11-20T00:00:00"/>
    <s v="9989011617"/>
    <s v="DANVILLE BREWERY"/>
    <n v="1"/>
    <x v="6"/>
  </r>
  <r>
    <d v="2024-11-20T00:00:00"/>
    <s v="9989011617"/>
    <s v="DANVILLE BREWERY"/>
    <n v="1"/>
    <x v="10"/>
  </r>
  <r>
    <d v="2024-11-20T00:00:00"/>
    <s v="9989011618"/>
    <s v="LUNA LOCA (JAINS FOODS)"/>
    <n v="2"/>
    <x v="5"/>
  </r>
  <r>
    <d v="2024-11-20T00:00:00"/>
    <s v="9989011618"/>
    <s v="LUNA LOCA (JAINS FOODS)"/>
    <n v="2"/>
    <x v="8"/>
  </r>
  <r>
    <d v="2024-11-20T00:00:00"/>
    <s v="9989011618"/>
    <s v="LUNA LOCA (JAINS FOODS)"/>
    <n v="2"/>
    <x v="15"/>
  </r>
  <r>
    <d v="2024-11-20T00:00:00"/>
    <s v="9989011618"/>
    <s v="LUNA LOCA (JAINS FOODS)"/>
    <n v="2"/>
    <x v="7"/>
  </r>
  <r>
    <d v="2024-11-20T00:00:00"/>
    <s v="9989011618"/>
    <s v="LUNA LOCA (JAINS FOODS)"/>
    <n v="1"/>
    <x v="14"/>
  </r>
  <r>
    <d v="2024-11-20T00:00:00"/>
    <s v="9989011619"/>
    <s v="STARBIRD CHICKEN - PLEASANTON"/>
    <n v="3"/>
    <x v="8"/>
  </r>
  <r>
    <d v="2024-11-20T00:00:00"/>
    <s v="9989011619"/>
    <s v="STARBIRD CHICKEN - PLEASANTON"/>
    <n v="3"/>
    <x v="5"/>
  </r>
  <r>
    <d v="2024-11-20T00:00:00"/>
    <s v="9989011619"/>
    <s v="STARBIRD CHICKEN - PLEASANTON"/>
    <n v="1"/>
    <x v="17"/>
  </r>
  <r>
    <d v="2024-11-20T00:00:00"/>
    <s v="9989011619"/>
    <s v="STARBIRD CHICKEN - PLEASANTON"/>
    <n v="1"/>
    <x v="15"/>
  </r>
  <r>
    <d v="2024-11-20T00:00:00"/>
    <s v="9989011619"/>
    <s v="STARBIRD CHICKEN - PLEASANTON"/>
    <n v="1"/>
    <x v="11"/>
  </r>
  <r>
    <d v="2024-11-20T00:00:00"/>
    <s v="9989011619"/>
    <s v="STARBIRD CHICKEN - PLEASANTON"/>
    <n v="1"/>
    <x v="1"/>
  </r>
  <r>
    <d v="2024-11-20T00:00:00"/>
    <s v="9989011619"/>
    <s v="STARBIRD CHICKEN - PLEASANTON"/>
    <n v="1"/>
    <x v="4"/>
  </r>
  <r>
    <d v="2024-11-20T00:00:00"/>
    <s v="9989011620"/>
    <s v="HOMETOWN HEROES -SSF"/>
    <n v="2"/>
    <x v="8"/>
  </r>
  <r>
    <d v="2024-11-20T00:00:00"/>
    <s v="9989011620"/>
    <s v="HOMETOWN HEROES -SSF"/>
    <n v="1"/>
    <x v="15"/>
  </r>
  <r>
    <d v="2024-11-20T00:00:00"/>
    <s v="9989011620"/>
    <s v="HOMETOWN HEROES -SSF"/>
    <n v="1"/>
    <x v="12"/>
  </r>
  <r>
    <d v="2024-11-20T00:00:00"/>
    <s v="9989011620"/>
    <s v="HOMETOWN HEROES -SSF"/>
    <n v="1"/>
    <x v="14"/>
  </r>
  <r>
    <d v="2024-11-20T00:00:00"/>
    <s v="9989011620"/>
    <s v="HOMETOWN HEROES -SSF"/>
    <n v="1"/>
    <x v="7"/>
  </r>
  <r>
    <d v="2024-11-20T00:00:00"/>
    <s v="9989011620"/>
    <s v="HOMETOWN HEROES -SSF"/>
    <n v="1"/>
    <x v="19"/>
  </r>
  <r>
    <d v="2024-11-20T00:00:00"/>
    <s v="9989011620"/>
    <s v="HOMETOWN HEROES -SSF"/>
    <n v="1"/>
    <x v="18"/>
  </r>
  <r>
    <d v="2024-11-20T00:00:00"/>
    <s v="9989011620"/>
    <s v="HOMETOWN HEROES -SSF"/>
    <n v="1"/>
    <x v="10"/>
  </r>
  <r>
    <d v="2024-11-20T00:00:00"/>
    <s v="9989011621"/>
    <s v="CALI KID BURGERS AND SHAKES"/>
    <n v="1"/>
    <x v="6"/>
  </r>
  <r>
    <d v="2024-11-20T00:00:00"/>
    <s v="9989011621"/>
    <s v="CALI KID BURGERS AND SHAKES"/>
    <n v="1"/>
    <x v="12"/>
  </r>
  <r>
    <d v="2024-11-20T00:00:00"/>
    <s v="9989011621"/>
    <s v="CALI KID BURGERS AND SHAKES"/>
    <n v="1"/>
    <x v="15"/>
  </r>
  <r>
    <d v="2024-11-20T00:00:00"/>
    <s v="9989011621"/>
    <s v="CALI KID BURGERS AND SHAKES"/>
    <n v="2"/>
    <x v="8"/>
  </r>
  <r>
    <d v="2024-11-20T00:00:00"/>
    <s v="9989011622"/>
    <s v="FIDDLERS GREEN"/>
    <n v="2"/>
    <x v="8"/>
  </r>
  <r>
    <d v="2024-11-20T00:00:00"/>
    <s v="9989011622"/>
    <s v="FIDDLERS GREEN"/>
    <n v="1"/>
    <x v="15"/>
  </r>
  <r>
    <d v="2024-11-20T00:00:00"/>
    <s v="9989011622"/>
    <s v="FIDDLERS GREEN"/>
    <n v="1"/>
    <x v="19"/>
  </r>
  <r>
    <d v="2024-11-20T00:00:00"/>
    <s v="9989011622"/>
    <s v="FIDDLERS GREEN"/>
    <n v="1"/>
    <x v="24"/>
  </r>
  <r>
    <d v="2024-11-20T00:00:00"/>
    <s v="9989011623"/>
    <s v="LIVERMORE CASINO"/>
    <n v="1"/>
    <x v="24"/>
  </r>
  <r>
    <d v="2024-11-20T00:00:00"/>
    <s v="9989011623"/>
    <s v="LIVERMORE CASINO"/>
    <n v="1"/>
    <x v="7"/>
  </r>
  <r>
    <d v="2024-11-20T00:00:00"/>
    <s v="9989011623"/>
    <s v="LIVERMORE CASINO"/>
    <n v="1"/>
    <x v="14"/>
  </r>
  <r>
    <d v="2024-11-20T00:00:00"/>
    <s v="9989011623"/>
    <s v="LIVERMORE CASINO"/>
    <n v="1"/>
    <x v="19"/>
  </r>
  <r>
    <d v="2024-11-20T00:00:00"/>
    <s v="9989011623"/>
    <s v="LIVERMORE CASINO"/>
    <n v="1"/>
    <x v="21"/>
  </r>
  <r>
    <d v="2024-11-20T00:00:00"/>
    <s v="9989011623"/>
    <s v="LIVERMORE CASINO"/>
    <n v="1"/>
    <x v="12"/>
  </r>
  <r>
    <d v="2024-11-20T00:00:00"/>
    <s v="9989011623"/>
    <s v="LIVERMORE CASINO"/>
    <n v="1"/>
    <x v="26"/>
  </r>
  <r>
    <d v="2024-11-20T00:00:00"/>
    <s v="9989011623"/>
    <s v="LIVERMORE CASINO"/>
    <n v="1"/>
    <x v="13"/>
  </r>
  <r>
    <d v="2024-11-20T00:00:00"/>
    <s v="9989011624"/>
    <s v="THE MELT (STANFORD)"/>
    <n v="3"/>
    <x v="15"/>
  </r>
  <r>
    <d v="2024-11-20T00:00:00"/>
    <s v="9989011624"/>
    <s v="THE MELT (STANFORD)"/>
    <n v="2"/>
    <x v="8"/>
  </r>
  <r>
    <d v="2024-11-20T00:00:00"/>
    <s v="9989011624"/>
    <s v="THE MELT (STANFORD)"/>
    <n v="2"/>
    <x v="9"/>
  </r>
  <r>
    <d v="2024-11-20T00:00:00"/>
    <s v="9989011624"/>
    <s v="THE MELT (STANFORD)"/>
    <n v="2"/>
    <x v="12"/>
  </r>
  <r>
    <d v="2024-11-20T00:00:00"/>
    <s v="9989011624"/>
    <s v="THE MELT (STANFORD)"/>
    <n v="1"/>
    <x v="10"/>
  </r>
  <r>
    <d v="2024-11-20T00:00:00"/>
    <s v="9989011625"/>
    <s v="THE DEAD FISH"/>
    <n v="3"/>
    <x v="13"/>
  </r>
  <r>
    <d v="2024-11-20T00:00:00"/>
    <s v="9989011625"/>
    <s v="THE DEAD FISH"/>
    <n v="2"/>
    <x v="14"/>
  </r>
  <r>
    <d v="2024-11-20T00:00:00"/>
    <s v="9989011626"/>
    <s v="BERTS STADIUM SPORTS BAR"/>
    <n v="1"/>
    <x v="8"/>
  </r>
  <r>
    <d v="2024-11-20T00:00:00"/>
    <s v="9989011628"/>
    <s v="THE MELT (SUNNYVALE #0043)"/>
    <n v="2"/>
    <x v="8"/>
  </r>
  <r>
    <d v="2024-11-20T00:00:00"/>
    <s v="9989011628"/>
    <s v="THE MELT (SUNNYVALE #0043)"/>
    <n v="1"/>
    <x v="15"/>
  </r>
  <r>
    <d v="2024-11-20T00:00:00"/>
    <s v="9989011628"/>
    <s v="THE MELT (SUNNYVALE #0043)"/>
    <n v="1"/>
    <x v="12"/>
  </r>
  <r>
    <d v="2024-11-20T00:00:00"/>
    <s v="9989011628"/>
    <s v="THE MELT (SUNNYVALE #0043)"/>
    <n v="1"/>
    <x v="9"/>
  </r>
  <r>
    <d v="2024-11-20T00:00:00"/>
    <s v="9989011628"/>
    <s v="THE MELT (SUNNYVALE #0043)"/>
    <n v="1"/>
    <x v="5"/>
  </r>
  <r>
    <d v="2024-11-20T00:00:00"/>
    <s v="9989011629"/>
    <s v="BRIX BEVERAGE - SAMPLING"/>
    <n v="1"/>
    <x v="1"/>
  </r>
  <r>
    <d v="2024-11-20T00:00:00"/>
    <s v="9989011630"/>
    <s v="EVOLUTION"/>
    <n v="1"/>
    <x v="8"/>
  </r>
  <r>
    <d v="2024-11-20T00:00:00"/>
    <s v="9989011630"/>
    <s v="EVOLUTION"/>
    <n v="2"/>
    <x v="28"/>
  </r>
  <r>
    <d v="2024-11-20T00:00:00"/>
    <s v="9989011630"/>
    <s v="EVOLUTION"/>
    <n v="1"/>
    <x v="19"/>
  </r>
  <r>
    <d v="2024-11-20T00:00:00"/>
    <s v="9989011630"/>
    <s v="EVOLUTION"/>
    <n v="1"/>
    <x v="22"/>
  </r>
  <r>
    <d v="2024-11-20T00:00:00"/>
    <s v="9989011631"/>
    <s v="DUKE OF EDINBURGH"/>
    <n v="2"/>
    <x v="7"/>
  </r>
  <r>
    <d v="2024-11-20T00:00:00"/>
    <s v="9989011631"/>
    <s v="DUKE OF EDINBURGH"/>
    <n v="2"/>
    <x v="15"/>
  </r>
  <r>
    <d v="2024-11-20T00:00:00"/>
    <s v="9989011631"/>
    <s v="DUKE OF EDINBURGH"/>
    <n v="2"/>
    <x v="12"/>
  </r>
  <r>
    <d v="2024-11-20T00:00:00"/>
    <s v="9989011631"/>
    <s v="DUKE OF EDINBURGH"/>
    <n v="1"/>
    <x v="8"/>
  </r>
  <r>
    <d v="2024-11-20T00:00:00"/>
    <s v="9989011631"/>
    <s v="DUKE OF EDINBURGH"/>
    <n v="1"/>
    <x v="14"/>
  </r>
  <r>
    <d v="2024-11-21T00:00:00"/>
    <s v="9989011632"/>
    <s v="DINOS GRILL"/>
    <n v="1"/>
    <x v="15"/>
  </r>
  <r>
    <d v="2024-11-21T00:00:00"/>
    <s v="9989011632"/>
    <s v="DINOS GRILL"/>
    <n v="1"/>
    <x v="8"/>
  </r>
  <r>
    <d v="2024-11-21T00:00:00"/>
    <s v="9989011632"/>
    <s v="DINOS GRILL"/>
    <n v="1"/>
    <x v="16"/>
  </r>
  <r>
    <d v="2024-11-21T00:00:00"/>
    <s v="9989011632"/>
    <s v="DINOS GRILL"/>
    <n v="1"/>
    <x v="5"/>
  </r>
  <r>
    <d v="2024-11-21T00:00:00"/>
    <s v="9989011632"/>
    <s v="DINOS GRILL"/>
    <n v="1"/>
    <x v="9"/>
  </r>
  <r>
    <d v="2024-11-21T00:00:00"/>
    <s v="9989011632"/>
    <s v="DINOS GRILL"/>
    <n v="1"/>
    <x v="1"/>
  </r>
  <r>
    <d v="2024-11-21T00:00:00"/>
    <s v="9989011632"/>
    <s v="DINOS GRILL"/>
    <n v="1"/>
    <x v="11"/>
  </r>
  <r>
    <d v="2024-11-21T00:00:00"/>
    <s v="9989011632"/>
    <s v="DINOS GRILL"/>
    <n v="1"/>
    <x v="4"/>
  </r>
  <r>
    <d v="2024-11-21T00:00:00"/>
    <s v="9989011632"/>
    <s v="DINOS GRILL"/>
    <n v="1"/>
    <x v="2"/>
  </r>
  <r>
    <d v="2024-11-21T00:00:00"/>
    <s v="9989011632"/>
    <s v="DINOS GRILL"/>
    <n v="1"/>
    <x v="0"/>
  </r>
  <r>
    <d v="2024-11-21T00:00:00"/>
    <s v="9989011634"/>
    <s v="RAMBUS"/>
    <n v="2"/>
    <x v="8"/>
  </r>
  <r>
    <d v="2024-11-21T00:00:00"/>
    <s v="9989011634"/>
    <s v="RAMBUS"/>
    <n v="2"/>
    <x v="15"/>
  </r>
  <r>
    <d v="2024-11-21T00:00:00"/>
    <s v="9989011634"/>
    <s v="RAMBUS"/>
    <n v="1"/>
    <x v="24"/>
  </r>
  <r>
    <d v="2024-11-21T00:00:00"/>
    <s v="9989011634"/>
    <s v="RAMBUS"/>
    <n v="1"/>
    <x v="5"/>
  </r>
  <r>
    <d v="2024-11-21T00:00:00"/>
    <s v="9989011634"/>
    <s v="RAMBUS"/>
    <n v="1"/>
    <x v="12"/>
  </r>
  <r>
    <d v="2024-11-21T00:00:00"/>
    <s v="9989011635"/>
    <s v="STARBIRD CHICKEN - CAMPBELL"/>
    <n v="2"/>
    <x v="23"/>
  </r>
  <r>
    <d v="2024-11-21T00:00:00"/>
    <s v="9989011635"/>
    <s v="STARBIRD CHICKEN - CAMPBELL"/>
    <n v="2"/>
    <x v="5"/>
  </r>
  <r>
    <d v="2024-11-21T00:00:00"/>
    <s v="9989011635"/>
    <s v="STARBIRD CHICKEN - CAMPBELL"/>
    <n v="4"/>
    <x v="8"/>
  </r>
  <r>
    <d v="2024-11-21T00:00:00"/>
    <s v="9989011635"/>
    <s v="STARBIRD CHICKEN - CAMPBELL"/>
    <n v="3"/>
    <x v="12"/>
  </r>
  <r>
    <d v="2024-11-21T00:00:00"/>
    <s v="9989011635"/>
    <s v="STARBIRD CHICKEN - CAMPBELL"/>
    <n v="7"/>
    <x v="1"/>
  </r>
  <r>
    <d v="2024-11-21T00:00:00"/>
    <s v="9989011635"/>
    <s v="STARBIRD CHICKEN - CAMPBELL"/>
    <n v="1"/>
    <x v="3"/>
  </r>
  <r>
    <d v="2024-11-21T00:00:00"/>
    <s v="9989011635"/>
    <s v="STARBIRD CHICKEN - CAMPBELL"/>
    <n v="4"/>
    <x v="4"/>
  </r>
  <r>
    <d v="2024-11-21T00:00:00"/>
    <s v="9989011635"/>
    <s v="STARBIRD CHICKEN - CAMPBELL"/>
    <n v="5"/>
    <x v="11"/>
  </r>
  <r>
    <d v="2024-11-21T00:00:00"/>
    <s v="9989011636"/>
    <s v="STRAITS SANTANA ROW"/>
    <n v="2"/>
    <x v="8"/>
  </r>
  <r>
    <d v="2024-11-21T00:00:00"/>
    <s v="9989011636"/>
    <s v="STRAITS SANTANA ROW"/>
    <n v="2"/>
    <x v="14"/>
  </r>
  <r>
    <d v="2024-11-21T00:00:00"/>
    <s v="9989011636"/>
    <s v="STRAITS SANTANA ROW"/>
    <n v="2"/>
    <x v="12"/>
  </r>
  <r>
    <d v="2024-11-21T00:00:00"/>
    <s v="9989011636"/>
    <s v="STRAITS SANTANA ROW"/>
    <n v="2"/>
    <x v="15"/>
  </r>
  <r>
    <d v="2024-11-21T00:00:00"/>
    <s v="9989011636"/>
    <s v="STRAITS SANTANA ROW"/>
    <n v="2"/>
    <x v="28"/>
  </r>
  <r>
    <d v="2024-11-21T00:00:00"/>
    <s v="9989011636"/>
    <s v="STRAITS SANTANA ROW"/>
    <n v="1"/>
    <x v="10"/>
  </r>
  <r>
    <d v="2024-11-21T00:00:00"/>
    <s v="9989011637"/>
    <s v="TEQUILA SHOTS BAR AND GRILL"/>
    <n v="1"/>
    <x v="14"/>
  </r>
  <r>
    <d v="2024-11-21T00:00:00"/>
    <s v="9989011637"/>
    <s v="TEQUILA SHOTS BAR AND GRILL"/>
    <n v="1"/>
    <x v="21"/>
  </r>
  <r>
    <d v="2024-11-21T00:00:00"/>
    <s v="9989011637"/>
    <s v="TEQUILA SHOTS BAR AND GRILL"/>
    <n v="1"/>
    <x v="28"/>
  </r>
  <r>
    <d v="2024-11-21T00:00:00"/>
    <s v="9989011637"/>
    <s v="TEQUILA SHOTS BAR AND GRILL"/>
    <n v="1"/>
    <x v="18"/>
  </r>
  <r>
    <d v="2024-11-21T00:00:00"/>
    <s v="9989011637"/>
    <s v="TEQUILA SHOTS BAR AND GRILL"/>
    <n v="1"/>
    <x v="10"/>
  </r>
  <r>
    <d v="2024-11-21T00:00:00"/>
    <s v="9989011638"/>
    <s v="THE MELT (GAS LAMP SAN DIEGO)"/>
    <n v="2"/>
    <x v="16"/>
  </r>
  <r>
    <d v="2024-11-21T00:00:00"/>
    <s v="9989011638"/>
    <s v="THE MELT (GAS LAMP SAN DIEGO)"/>
    <n v="1"/>
    <x v="8"/>
  </r>
  <r>
    <d v="2024-11-21T00:00:00"/>
    <s v="9989011638"/>
    <s v="THE MELT (GAS LAMP SAN DIEGO)"/>
    <n v="1"/>
    <x v="15"/>
  </r>
  <r>
    <d v="2024-11-21T00:00:00"/>
    <s v="9989011638"/>
    <s v="THE MELT (GAS LAMP SAN DIEGO)"/>
    <n v="1"/>
    <x v="10"/>
  </r>
  <r>
    <d v="2024-11-21T00:00:00"/>
    <s v="9989011638"/>
    <s v="THE MELT (GAS LAMP SAN DIEGO)"/>
    <n v="1"/>
    <x v="12"/>
  </r>
  <r>
    <d v="2024-11-21T00:00:00"/>
    <s v="9989011638"/>
    <s v="THE MELT (GAS LAMP SAN DIEGO)"/>
    <n v="1"/>
    <x v="9"/>
  </r>
  <r>
    <d v="2024-11-21T00:00:00"/>
    <s v="9989011639"/>
    <s v="THE MELT (LA JOLLA)"/>
    <n v="3"/>
    <x v="16"/>
  </r>
  <r>
    <d v="2024-11-21T00:00:00"/>
    <s v="9989011639"/>
    <s v="THE MELT (LA JOLLA)"/>
    <n v="3"/>
    <x v="8"/>
  </r>
  <r>
    <d v="2024-11-21T00:00:00"/>
    <s v="9989011639"/>
    <s v="THE MELT (LA JOLLA)"/>
    <n v="1"/>
    <x v="15"/>
  </r>
  <r>
    <d v="2024-11-21T00:00:00"/>
    <s v="9989011639"/>
    <s v="THE MELT (LA JOLLA)"/>
    <n v="1"/>
    <x v="12"/>
  </r>
  <r>
    <d v="2024-11-21T00:00:00"/>
    <s v="9989011639"/>
    <s v="THE MELT (LA JOLLA)"/>
    <n v="1"/>
    <x v="9"/>
  </r>
  <r>
    <d v="2024-11-21T00:00:00"/>
    <s v="9989011639"/>
    <s v="THE MELT (LA JOLLA)"/>
    <n v="2"/>
    <x v="5"/>
  </r>
  <r>
    <d v="2024-11-21T00:00:00"/>
    <s v="9989011639"/>
    <s v="THE MELT (LA JOLLA)"/>
    <n v="1"/>
    <x v="10"/>
  </r>
  <r>
    <d v="2024-11-21T00:00:00"/>
    <s v="9989011640"/>
    <s v="BRONCO BILLY'S PIZZA PALACE FREMONT NILES"/>
    <n v="4"/>
    <x v="13"/>
  </r>
  <r>
    <d v="2024-11-21T00:00:00"/>
    <s v="9989011640"/>
    <s v="BRONCO BILLY'S PIZZA PALACE FREMONT NILES"/>
    <n v="2"/>
    <x v="26"/>
  </r>
  <r>
    <d v="2024-11-21T00:00:00"/>
    <s v="9989011640"/>
    <s v="BRONCO BILLY'S PIZZA PALACE FREMONT NILES"/>
    <n v="1"/>
    <x v="27"/>
  </r>
  <r>
    <d v="2024-11-21T00:00:00"/>
    <s v="9989011640"/>
    <s v="BRONCO BILLY'S PIZZA PALACE FREMONT NILES"/>
    <n v="4"/>
    <x v="5"/>
  </r>
  <r>
    <d v="2024-11-21T00:00:00"/>
    <s v="9989011640"/>
    <s v="BRONCO BILLY'S PIZZA PALACE FREMONT NILES"/>
    <n v="1"/>
    <x v="17"/>
  </r>
  <r>
    <d v="2024-11-21T00:00:00"/>
    <s v="9989011640"/>
    <s v="BRONCO BILLY'S PIZZA PALACE FREMONT NILES"/>
    <n v="1"/>
    <x v="9"/>
  </r>
  <r>
    <d v="2024-11-21T00:00:00"/>
    <s v="9989011640"/>
    <s v="BRONCO BILLY'S PIZZA PALACE FREMONT NILES"/>
    <n v="1"/>
    <x v="30"/>
  </r>
  <r>
    <d v="2024-11-21T00:00:00"/>
    <s v="9989011640"/>
    <s v="BRONCO BILLY'S PIZZA PALACE FREMONT NILES"/>
    <n v="1"/>
    <x v="7"/>
  </r>
  <r>
    <d v="2024-11-21T00:00:00"/>
    <s v="9989011641"/>
    <s v="BRONCO BILLYS HAYWARD"/>
    <n v="2"/>
    <x v="8"/>
  </r>
  <r>
    <d v="2024-11-21T00:00:00"/>
    <s v="9989011641"/>
    <s v="BRONCO BILLYS HAYWARD"/>
    <n v="2"/>
    <x v="5"/>
  </r>
  <r>
    <d v="2024-11-21T00:00:00"/>
    <s v="9989011641"/>
    <s v="BRONCO BILLYS HAYWARD"/>
    <n v="2"/>
    <x v="30"/>
  </r>
  <r>
    <d v="2024-11-21T00:00:00"/>
    <s v="9989011641"/>
    <s v="BRONCO BILLYS HAYWARD"/>
    <n v="1"/>
    <x v="7"/>
  </r>
  <r>
    <d v="2024-11-21T00:00:00"/>
    <s v="9989011641"/>
    <s v="BRONCO BILLYS HAYWARD"/>
    <n v="1"/>
    <x v="17"/>
  </r>
  <r>
    <d v="2024-11-21T00:00:00"/>
    <s v="9989011641"/>
    <s v="BRONCO BILLYS HAYWARD"/>
    <n v="1"/>
    <x v="15"/>
  </r>
  <r>
    <d v="2024-11-21T00:00:00"/>
    <s v="9989011642"/>
    <s v="THE MELT (DEL MAR)"/>
    <n v="2"/>
    <x v="16"/>
  </r>
  <r>
    <d v="2024-11-21T00:00:00"/>
    <s v="9989011642"/>
    <s v="THE MELT (DEL MAR)"/>
    <n v="2"/>
    <x v="8"/>
  </r>
  <r>
    <d v="2024-11-21T00:00:00"/>
    <s v="9989011642"/>
    <s v="THE MELT (DEL MAR)"/>
    <n v="2"/>
    <x v="10"/>
  </r>
  <r>
    <d v="2024-11-21T00:00:00"/>
    <s v="9989011642"/>
    <s v="THE MELT (DEL MAR)"/>
    <n v="2"/>
    <x v="12"/>
  </r>
  <r>
    <d v="2024-11-21T00:00:00"/>
    <s v="9989011642"/>
    <s v="THE MELT (DEL MAR)"/>
    <n v="2"/>
    <x v="9"/>
  </r>
  <r>
    <d v="2024-11-21T00:00:00"/>
    <s v="9989011642"/>
    <s v="THE MELT (DEL MAR)"/>
    <n v="3"/>
    <x v="5"/>
  </r>
  <r>
    <d v="2024-11-21T00:00:00"/>
    <s v="9989011643"/>
    <s v="PORTAL OAKLAND INC"/>
    <n v="1"/>
    <x v="8"/>
  </r>
  <r>
    <d v="2024-11-21T00:00:00"/>
    <s v="9989011643"/>
    <s v="PORTAL OAKLAND INC"/>
    <n v="1"/>
    <x v="14"/>
  </r>
  <r>
    <d v="2024-11-21T00:00:00"/>
    <s v="9989011643"/>
    <s v="PORTAL OAKLAND INC"/>
    <n v="1"/>
    <x v="10"/>
  </r>
  <r>
    <d v="2024-11-21T00:00:00"/>
    <s v="9989011644"/>
    <s v="HELLO STRANGER"/>
    <n v="3"/>
    <x v="28"/>
  </r>
  <r>
    <d v="2024-11-21T00:00:00"/>
    <s v="9989011644"/>
    <s v="HELLO STRANGER"/>
    <n v="1"/>
    <x v="14"/>
  </r>
  <r>
    <d v="2024-11-21T00:00:00"/>
    <s v="9989011645"/>
    <s v="CITY NIGHTS"/>
    <n v="2"/>
    <x v="8"/>
  </r>
  <r>
    <d v="2024-11-21T00:00:00"/>
    <s v="9989011645"/>
    <s v="CITY NIGHTS"/>
    <n v="1"/>
    <x v="14"/>
  </r>
  <r>
    <d v="2024-11-21T00:00:00"/>
    <s v="9989011645"/>
    <s v="CITY NIGHTS"/>
    <n v="1"/>
    <x v="28"/>
  </r>
  <r>
    <d v="2024-11-21T00:00:00"/>
    <s v="9989011646"/>
    <s v="HIGH HORSE"/>
    <n v="1"/>
    <x v="8"/>
  </r>
  <r>
    <d v="2024-11-21T00:00:00"/>
    <s v="9989011646"/>
    <s v="HIGH HORSE"/>
    <n v="1"/>
    <x v="15"/>
  </r>
  <r>
    <d v="2024-11-21T00:00:00"/>
    <s v="9989011646"/>
    <s v="HIGH HORSE"/>
    <n v="1"/>
    <x v="18"/>
  </r>
  <r>
    <d v="2024-11-21T00:00:00"/>
    <s v="9989011646"/>
    <s v="HIGH HORSE"/>
    <n v="1"/>
    <x v="10"/>
  </r>
  <r>
    <d v="2024-11-21T00:00:00"/>
    <s v="9989011647"/>
    <s v="THE OLD SHIP SALOON"/>
    <n v="1"/>
    <x v="8"/>
  </r>
  <r>
    <d v="2024-11-21T00:00:00"/>
    <s v="9989011647"/>
    <s v="THE OLD SHIP SALOON"/>
    <n v="1"/>
    <x v="15"/>
  </r>
  <r>
    <d v="2024-11-21T00:00:00"/>
    <s v="9989011647"/>
    <s v="THE OLD SHIP SALOON"/>
    <n v="1"/>
    <x v="10"/>
  </r>
  <r>
    <d v="2024-11-21T00:00:00"/>
    <s v="9989011649"/>
    <s v="SWELL BAR"/>
    <n v="1"/>
    <x v="8"/>
  </r>
  <r>
    <d v="2024-11-21T00:00:00"/>
    <s v="9989011649"/>
    <s v="SWELL BAR"/>
    <n v="1"/>
    <x v="15"/>
  </r>
  <r>
    <d v="2024-11-21T00:00:00"/>
    <s v="9989011649"/>
    <s v="SWELL BAR"/>
    <n v="1"/>
    <x v="18"/>
  </r>
  <r>
    <d v="2024-11-21T00:00:00"/>
    <s v="9989011649"/>
    <s v="SWELL BAR"/>
    <n v="1"/>
    <x v="12"/>
  </r>
  <r>
    <d v="2024-11-21T00:00:00"/>
    <s v="9989011649"/>
    <s v="SWELL BAR"/>
    <n v="1"/>
    <x v="10"/>
  </r>
  <r>
    <d v="2024-11-21T00:00:00"/>
    <s v="9989011650"/>
    <s v="SWISS PARK BAR &amp; GRILLE NEWARK"/>
    <n v="2"/>
    <x v="12"/>
  </r>
  <r>
    <d v="2024-11-21T00:00:00"/>
    <s v="9989011650"/>
    <s v="SWISS PARK BAR &amp; GRILLE NEWARK"/>
    <n v="1"/>
    <x v="8"/>
  </r>
  <r>
    <d v="2024-11-21T00:00:00"/>
    <s v="9989011651"/>
    <s v="BOHEMIAN CLUB"/>
    <n v="3"/>
    <x v="8"/>
  </r>
  <r>
    <d v="2024-11-21T00:00:00"/>
    <s v="9989011652"/>
    <s v="THE MELT (SACRAMENTO-BLVD)"/>
    <n v="3"/>
    <x v="5"/>
  </r>
  <r>
    <d v="2024-11-21T00:00:00"/>
    <s v="9989011653"/>
    <s v="WILLKOMMEN"/>
    <n v="1"/>
    <x v="15"/>
  </r>
  <r>
    <d v="2024-11-21T00:00:00"/>
    <s v="9989011653"/>
    <s v="WILLKOMMEN"/>
    <n v="1"/>
    <x v="8"/>
  </r>
  <r>
    <d v="2024-11-21T00:00:00"/>
    <s v="9989011653"/>
    <s v="WILLKOMMEN"/>
    <n v="1"/>
    <x v="12"/>
  </r>
  <r>
    <d v="2024-11-21T00:00:00"/>
    <s v="9989011654"/>
    <s v="SAN FRANCISCO PLAYHOUSE"/>
    <n v="4"/>
    <x v="8"/>
  </r>
  <r>
    <d v="2024-11-21T00:00:00"/>
    <s v="9989011654"/>
    <s v="SAN FRANCISCO PLAYHOUSE"/>
    <n v="4"/>
    <x v="12"/>
  </r>
  <r>
    <d v="2024-11-21T00:00:00"/>
    <s v="9989011654"/>
    <s v="SAN FRANCISCO PLAYHOUSE"/>
    <n v="3"/>
    <x v="15"/>
  </r>
  <r>
    <d v="2024-11-21T00:00:00"/>
    <s v="9989011654"/>
    <s v="SAN FRANCISCO PLAYHOUSE"/>
    <n v="3"/>
    <x v="18"/>
  </r>
  <r>
    <d v="2024-11-21T00:00:00"/>
    <s v="9989011654"/>
    <s v="SAN FRANCISCO PLAYHOUSE"/>
    <n v="2"/>
    <x v="17"/>
  </r>
  <r>
    <d v="2024-11-21T00:00:00"/>
    <s v="9989011654"/>
    <s v="SAN FRANCISCO PLAYHOUSE"/>
    <n v="2"/>
    <x v="19"/>
  </r>
  <r>
    <d v="2024-11-21T00:00:00"/>
    <s v="9989011654"/>
    <s v="SAN FRANCISCO PLAYHOUSE"/>
    <n v="1"/>
    <x v="7"/>
  </r>
  <r>
    <d v="2024-11-21T00:00:00"/>
    <s v="9989011655"/>
    <s v="DREXL"/>
    <n v="2"/>
    <x v="10"/>
  </r>
  <r>
    <d v="2024-11-21T00:00:00"/>
    <s v="9989011655"/>
    <s v="DREXL"/>
    <n v="1"/>
    <x v="18"/>
  </r>
  <r>
    <d v="2024-11-21T00:00:00"/>
    <s v="9989011656"/>
    <s v="MOLOTOVS ( TWO NICKELS)"/>
    <n v="1"/>
    <x v="8"/>
  </r>
  <r>
    <d v="2024-11-21T00:00:00"/>
    <s v="9989011656"/>
    <s v="MOLOTOVS ( TWO NICKELS)"/>
    <n v="1"/>
    <x v="12"/>
  </r>
  <r>
    <d v="2024-11-21T00:00:00"/>
    <s v="9989011656"/>
    <s v="MOLOTOVS ( TWO NICKELS)"/>
    <n v="1"/>
    <x v="18"/>
  </r>
  <r>
    <d v="2024-11-21T00:00:00"/>
    <s v="9989011656"/>
    <s v="MOLOTOVS ( TWO NICKELS)"/>
    <n v="1"/>
    <x v="10"/>
  </r>
  <r>
    <d v="2024-11-22T00:00:00"/>
    <s v="9989011657"/>
    <s v="TRABOCCO"/>
    <n v="1"/>
    <x v="27"/>
  </r>
  <r>
    <d v="2024-11-22T00:00:00"/>
    <s v="9989011657"/>
    <s v="TRABOCCO"/>
    <n v="1"/>
    <x v="13"/>
  </r>
  <r>
    <d v="2024-11-22T00:00:00"/>
    <s v="9989011657"/>
    <s v="TRABOCCO"/>
    <n v="1"/>
    <x v="10"/>
  </r>
  <r>
    <d v="2024-11-22T00:00:00"/>
    <s v="9989011658"/>
    <s v="HOBNOB RESTAURANT"/>
    <n v="1"/>
    <x v="8"/>
  </r>
  <r>
    <d v="2024-11-22T00:00:00"/>
    <s v="9989011658"/>
    <s v="HOBNOB RESTAURANT"/>
    <n v="1"/>
    <x v="15"/>
  </r>
  <r>
    <d v="2024-11-22T00:00:00"/>
    <s v="9989011659"/>
    <s v="STARBIRD CHICKEN - CORTE MADERA"/>
    <n v="2"/>
    <x v="8"/>
  </r>
  <r>
    <d v="2024-11-22T00:00:00"/>
    <s v="9989011659"/>
    <s v="STARBIRD CHICKEN - CORTE MADERA"/>
    <n v="2"/>
    <x v="15"/>
  </r>
  <r>
    <d v="2024-11-22T00:00:00"/>
    <s v="9989011659"/>
    <s v="STARBIRD CHICKEN - CORTE MADERA"/>
    <n v="2"/>
    <x v="12"/>
  </r>
  <r>
    <d v="2024-11-22T00:00:00"/>
    <s v="9989011659"/>
    <s v="STARBIRD CHICKEN - CORTE MADERA"/>
    <n v="1"/>
    <x v="5"/>
  </r>
  <r>
    <d v="2024-11-22T00:00:00"/>
    <s v="9989011659"/>
    <s v="STARBIRD CHICKEN - CORTE MADERA"/>
    <n v="1"/>
    <x v="17"/>
  </r>
  <r>
    <d v="2024-11-22T00:00:00"/>
    <s v="9989011659"/>
    <s v="STARBIRD CHICKEN - CORTE MADERA"/>
    <n v="1"/>
    <x v="23"/>
  </r>
  <r>
    <d v="2024-11-22T00:00:00"/>
    <s v="9989011659"/>
    <s v="STARBIRD CHICKEN - CORTE MADERA"/>
    <n v="1"/>
    <x v="1"/>
  </r>
  <r>
    <d v="2024-11-22T00:00:00"/>
    <s v="9989011659"/>
    <s v="STARBIRD CHICKEN - CORTE MADERA"/>
    <n v="1"/>
    <x v="11"/>
  </r>
  <r>
    <d v="2024-11-22T00:00:00"/>
    <s v="9989011659"/>
    <s v="STARBIRD CHICKEN - CORTE MADERA"/>
    <n v="1"/>
    <x v="3"/>
  </r>
  <r>
    <d v="2024-11-22T00:00:00"/>
    <s v="9989011660"/>
    <s v="THE JUNCTION"/>
    <n v="1"/>
    <x v="7"/>
  </r>
  <r>
    <d v="2024-11-22T00:00:00"/>
    <s v="9989011660"/>
    <s v="THE JUNCTION"/>
    <n v="1"/>
    <x v="25"/>
  </r>
  <r>
    <d v="2024-11-22T00:00:00"/>
    <s v="9989011661"/>
    <s v="HOLE IN THE WALL"/>
    <n v="1"/>
    <x v="18"/>
  </r>
  <r>
    <d v="2024-11-22T00:00:00"/>
    <s v="9989011661"/>
    <s v="HOLE IN THE WALL"/>
    <n v="1"/>
    <x v="14"/>
  </r>
  <r>
    <d v="2024-11-22T00:00:00"/>
    <s v="9989011662"/>
    <s v="MILL VALLEY SWIRL"/>
    <n v="1"/>
    <x v="2"/>
  </r>
  <r>
    <d v="2024-11-22T00:00:00"/>
    <s v="9989011662"/>
    <s v="MILL VALLEY SWIRL"/>
    <n v="1"/>
    <x v="3"/>
  </r>
  <r>
    <d v="2024-11-22T00:00:00"/>
    <s v="9989011662"/>
    <s v="MILL VALLEY SWIRL"/>
    <n v="1"/>
    <x v="1"/>
  </r>
  <r>
    <d v="2024-11-22T00:00:00"/>
    <s v="9989011662"/>
    <s v="MILL VALLEY SWIRL"/>
    <n v="2"/>
    <x v="4"/>
  </r>
  <r>
    <d v="2024-11-22T00:00:00"/>
    <s v="9989011664"/>
    <s v="X CORP."/>
    <n v="4"/>
    <x v="38"/>
  </r>
  <r>
    <d v="2024-11-22T00:00:00"/>
    <s v="9989011665"/>
    <s v="GATHER"/>
    <n v="3"/>
    <x v="11"/>
  </r>
  <r>
    <d v="2024-11-22T00:00:00"/>
    <s v="9989011665"/>
    <s v="GATHER"/>
    <n v="4"/>
    <x v="1"/>
  </r>
  <r>
    <d v="2024-11-22T00:00:00"/>
    <s v="9989011666"/>
    <s v="BEN N' NICKS BAR AND GRILL"/>
    <n v="1"/>
    <x v="13"/>
  </r>
  <r>
    <d v="2024-11-22T00:00:00"/>
    <s v="9989011666"/>
    <s v="BEN N' NICKS BAR AND GRILL"/>
    <n v="1"/>
    <x v="18"/>
  </r>
  <r>
    <d v="2024-11-22T00:00:00"/>
    <s v="9989011666"/>
    <s v="BEN N' NICKS BAR AND GRILL"/>
    <n v="1"/>
    <x v="10"/>
  </r>
  <r>
    <d v="2024-11-22T00:00:00"/>
    <s v="9989011667"/>
    <s v="CLUB BOTTOMS UP SF"/>
    <n v="1"/>
    <x v="12"/>
  </r>
  <r>
    <d v="2024-11-22T00:00:00"/>
    <s v="9989011667"/>
    <s v="CLUB BOTTOMS UP SF"/>
    <n v="1"/>
    <x v="28"/>
  </r>
  <r>
    <d v="2024-11-22T00:00:00"/>
    <s v="9989011668"/>
    <s v="CALI'S SPORTS BAR"/>
    <n v="3"/>
    <x v="8"/>
  </r>
  <r>
    <d v="2024-11-22T00:00:00"/>
    <s v="9989011668"/>
    <s v="CALI'S SPORTS BAR"/>
    <n v="1"/>
    <x v="12"/>
  </r>
  <r>
    <d v="2024-11-22T00:00:00"/>
    <s v="9989011668"/>
    <s v="CALI'S SPORTS BAR"/>
    <n v="1"/>
    <x v="19"/>
  </r>
  <r>
    <d v="2024-11-22T00:00:00"/>
    <s v="9989011668"/>
    <s v="CALI'S SPORTS BAR"/>
    <n v="1"/>
    <x v="18"/>
  </r>
  <r>
    <d v="2024-11-22T00:00:00"/>
    <s v="9989011668"/>
    <s v="CALI'S SPORTS BAR"/>
    <n v="1"/>
    <x v="24"/>
  </r>
  <r>
    <d v="2024-11-22T00:00:00"/>
    <s v="9989011668"/>
    <s v="CALI'S SPORTS BAR"/>
    <n v="1"/>
    <x v="30"/>
  </r>
  <r>
    <d v="2024-11-22T00:00:00"/>
    <s v="9989011668"/>
    <s v="CALI'S SPORTS BAR"/>
    <n v="1"/>
    <x v="10"/>
  </r>
  <r>
    <d v="2024-11-22T00:00:00"/>
    <s v="9989011669"/>
    <s v="RED BARN LLC"/>
    <n v="4"/>
    <x v="25"/>
  </r>
  <r>
    <d v="2024-11-22T00:00:00"/>
    <s v="9989011669"/>
    <s v="RED BARN LLC"/>
    <n v="8"/>
    <x v="10"/>
  </r>
  <r>
    <d v="2024-11-22T00:00:00"/>
    <s v="9989011669"/>
    <s v="RED BARN LLC"/>
    <n v="1"/>
    <x v="25"/>
  </r>
  <r>
    <d v="2024-11-22T00:00:00"/>
    <s v="9989011669"/>
    <s v="RED BARN LLC"/>
    <n v="2"/>
    <x v="10"/>
  </r>
  <r>
    <d v="2024-11-22T00:00:00"/>
    <s v="9989011669"/>
    <s v="RED BARN LLC"/>
    <n v="35"/>
    <x v="25"/>
  </r>
  <r>
    <d v="2024-11-22T00:00:00"/>
    <s v="9989011670"/>
    <s v="2101 CLUB"/>
    <n v="1"/>
    <x v="14"/>
  </r>
  <r>
    <d v="2024-11-22T00:00:00"/>
    <s v="9989011670"/>
    <s v="2101 CLUB"/>
    <n v="1"/>
    <x v="21"/>
  </r>
  <r>
    <d v="2024-11-22T00:00:00"/>
    <s v="9989011670"/>
    <s v="2101 CLUB"/>
    <n v="1"/>
    <x v="8"/>
  </r>
  <r>
    <d v="2024-11-22T00:00:00"/>
    <s v="9989011670"/>
    <s v="2101 CLUB"/>
    <n v="1"/>
    <x v="12"/>
  </r>
  <r>
    <d v="2024-11-22T00:00:00"/>
    <s v="9989011671"/>
    <s v="LAS PALMAS"/>
    <n v="1"/>
    <x v="5"/>
  </r>
  <r>
    <d v="2024-11-22T00:00:00"/>
    <s v="9989011671"/>
    <s v="LAS PALMAS"/>
    <n v="1"/>
    <x v="29"/>
  </r>
  <r>
    <d v="2024-11-22T00:00:00"/>
    <s v="9989011671"/>
    <s v="LAS PALMAS"/>
    <n v="1"/>
    <x v="13"/>
  </r>
  <r>
    <d v="2024-11-22T00:00:00"/>
    <s v="9989011672"/>
    <s v="RADIO-LITTLE BIRD"/>
    <n v="1"/>
    <x v="8"/>
  </r>
  <r>
    <d v="2024-11-22T00:00:00"/>
    <s v="9989011673"/>
    <s v="BLUE LAGOON"/>
    <n v="1"/>
    <x v="18"/>
  </r>
  <r>
    <d v="2024-11-22T00:00:00"/>
    <s v="9989011673"/>
    <s v="BLUE LAGOON"/>
    <n v="1"/>
    <x v="19"/>
  </r>
  <r>
    <d v="2024-11-22T00:00:00"/>
    <s v="9989011673"/>
    <s v="BLUE LAGOON"/>
    <n v="1"/>
    <x v="37"/>
  </r>
  <r>
    <d v="2024-11-22T00:00:00"/>
    <s v="9989011674"/>
    <s v="THE JURY ROOM"/>
    <n v="1"/>
    <x v="8"/>
  </r>
  <r>
    <d v="2024-11-22T00:00:00"/>
    <s v="9989011674"/>
    <s v="THE JURY ROOM"/>
    <n v="1"/>
    <x v="19"/>
  </r>
  <r>
    <d v="2024-11-22T00:00:00"/>
    <s v="9989011674"/>
    <s v="THE JURY ROOM"/>
    <n v="1"/>
    <x v="37"/>
  </r>
  <r>
    <d v="2024-11-22T00:00:00"/>
    <s v="9989011674"/>
    <s v="THE JURY ROOM"/>
    <n v="1"/>
    <x v="14"/>
  </r>
  <r>
    <d v="2024-11-22T00:00:00"/>
    <s v="9989011676"/>
    <s v="TOP DOG #3 LAK"/>
    <n v="1"/>
    <x v="13"/>
  </r>
  <r>
    <d v="2024-11-22T00:00:00"/>
    <s v="9989011676"/>
    <s v="TOP DOG #3 LAK"/>
    <n v="1"/>
    <x v="26"/>
  </r>
  <r>
    <d v="2024-11-22T00:00:00"/>
    <s v="9989011676"/>
    <s v="TOP DOG #3 LAK"/>
    <n v="3"/>
    <x v="5"/>
  </r>
  <r>
    <d v="2024-11-22T00:00:00"/>
    <s v="9989011676"/>
    <s v="TOP DOG #3 LAK"/>
    <n v="1"/>
    <x v="29"/>
  </r>
  <r>
    <d v="2024-11-22T00:00:00"/>
    <s v="9989011677"/>
    <s v="GRAND LAKE THEATER"/>
    <n v="8"/>
    <x v="8"/>
  </r>
  <r>
    <d v="2024-11-22T00:00:00"/>
    <s v="9989011677"/>
    <s v="GRAND LAKE THEATER"/>
    <n v="6"/>
    <x v="12"/>
  </r>
  <r>
    <d v="2024-11-22T00:00:00"/>
    <s v="9989011677"/>
    <s v="GRAND LAKE THEATER"/>
    <n v="4"/>
    <x v="15"/>
  </r>
  <r>
    <d v="2024-11-22T00:00:00"/>
    <s v="9989011677"/>
    <s v="GRAND LAKE THEATER"/>
    <n v="4"/>
    <x v="5"/>
  </r>
  <r>
    <d v="2024-11-22T00:00:00"/>
    <s v="9989011677"/>
    <s v="GRAND LAKE THEATER"/>
    <n v="4"/>
    <x v="10"/>
  </r>
  <r>
    <d v="2024-11-22T00:00:00"/>
    <s v="9989011677"/>
    <s v="GRAND LAKE THEATER"/>
    <n v="4"/>
    <x v="7"/>
  </r>
  <r>
    <d v="2024-11-22T00:00:00"/>
    <s v="9989011678"/>
    <s v="ISLAND SAVOY MARKET"/>
    <n v="3"/>
    <x v="0"/>
  </r>
  <r>
    <d v="2024-11-22T00:00:00"/>
    <s v="9989011678"/>
    <s v="ISLAND SAVOY MARKET"/>
    <n v="3"/>
    <x v="4"/>
  </r>
  <r>
    <d v="2024-11-22T00:00:00"/>
    <s v="9989011678"/>
    <s v="ISLAND SAVOY MARKET"/>
    <n v="1"/>
    <x v="3"/>
  </r>
  <r>
    <d v="2024-11-22T00:00:00"/>
    <s v="9989011679"/>
    <s v="ALMANAC"/>
    <n v="2"/>
    <x v="1"/>
  </r>
  <r>
    <d v="2024-11-22T00:00:00"/>
    <s v="9989011679"/>
    <s v="ALMANAC"/>
    <n v="4"/>
    <x v="3"/>
  </r>
  <r>
    <d v="2024-11-22T00:00:00"/>
    <s v="9989011679"/>
    <s v="ALMANAC"/>
    <n v="4"/>
    <x v="0"/>
  </r>
  <r>
    <d v="2024-11-22T00:00:00"/>
    <s v="9989011679"/>
    <s v="ALMANAC"/>
    <n v="2"/>
    <x v="4"/>
  </r>
  <r>
    <d v="2024-11-22T00:00:00"/>
    <s v="9989011679"/>
    <s v="ALMANAC"/>
    <n v="1"/>
    <x v="11"/>
  </r>
  <r>
    <d v="2024-11-22T00:00:00"/>
    <s v="9989011680"/>
    <s v="PHILS FISH MARKET"/>
    <n v="6"/>
    <x v="13"/>
  </r>
  <r>
    <d v="2024-11-22T00:00:00"/>
    <s v="9989011680"/>
    <s v="PHILS FISH MARKET"/>
    <n v="2"/>
    <x v="26"/>
  </r>
  <r>
    <d v="2024-11-22T00:00:00"/>
    <s v="9989011680"/>
    <s v="PHILS FISH MARKET"/>
    <n v="3"/>
    <x v="19"/>
  </r>
  <r>
    <d v="2024-11-22T00:00:00"/>
    <s v="9989011680"/>
    <s v="PHILS FISH MARKET"/>
    <n v="3"/>
    <x v="5"/>
  </r>
  <r>
    <d v="2024-11-22T00:00:00"/>
    <s v="9989011680"/>
    <s v="PHILS FISH MARKET"/>
    <n v="3"/>
    <x v="7"/>
  </r>
  <r>
    <d v="2024-11-22T00:00:00"/>
    <s v="9989011680"/>
    <s v="PHILS FISH MARKET"/>
    <n v="2"/>
    <x v="9"/>
  </r>
  <r>
    <d v="2024-11-25T00:00:00"/>
    <s v="9989011682"/>
    <s v="RED BARN LLC"/>
    <n v="40"/>
    <x v="7"/>
  </r>
  <r>
    <d v="2024-11-25T00:00:00"/>
    <s v="9989011684"/>
    <s v="ARTHUR MAC'S LITTLE SNACK"/>
    <n v="3"/>
    <x v="12"/>
  </r>
  <r>
    <d v="2024-11-25T00:00:00"/>
    <s v="9989011684"/>
    <s v="ARTHUR MAC'S LITTLE SNACK"/>
    <n v="3"/>
    <x v="5"/>
  </r>
  <r>
    <d v="2024-11-25T00:00:00"/>
    <s v="9989011684"/>
    <s v="ARTHUR MAC'S LITTLE SNACK"/>
    <n v="1"/>
    <x v="15"/>
  </r>
  <r>
    <d v="2024-11-26T00:00:00"/>
    <s v="9989011685"/>
    <s v="HOG ISLAND OYSTER CO"/>
    <n v="2"/>
    <x v="13"/>
  </r>
  <r>
    <d v="2024-11-26T00:00:00"/>
    <s v="9989011685"/>
    <s v="HOG ISLAND OYSTER CO"/>
    <n v="1"/>
    <x v="26"/>
  </r>
  <r>
    <d v="2024-11-26T00:00:00"/>
    <s v="9989011685"/>
    <s v="HOG ISLAND OYSTER CO"/>
    <n v="1"/>
    <x v="27"/>
  </r>
  <r>
    <d v="2024-11-26T00:00:00"/>
    <s v="9989011686"/>
    <s v="PICANTE"/>
    <n v="1"/>
    <x v="8"/>
  </r>
  <r>
    <d v="2024-11-26T00:00:00"/>
    <s v="9989011686"/>
    <s v="PICANTE"/>
    <n v="1"/>
    <x v="5"/>
  </r>
  <r>
    <d v="2024-11-26T00:00:00"/>
    <s v="9989011686"/>
    <s v="PICANTE"/>
    <n v="1"/>
    <x v="7"/>
  </r>
  <r>
    <d v="2024-11-26T00:00:00"/>
    <s v="9989011686"/>
    <s v="PICANTE"/>
    <n v="1"/>
    <x v="10"/>
  </r>
  <r>
    <d v="2024-11-26T00:00:00"/>
    <s v="9989011687"/>
    <s v="THE MELT (925 MARKET)"/>
    <n v="4"/>
    <x v="8"/>
  </r>
  <r>
    <d v="2024-11-26T00:00:00"/>
    <s v="9989011687"/>
    <s v="THE MELT (925 MARKET)"/>
    <n v="4"/>
    <x v="5"/>
  </r>
  <r>
    <d v="2024-11-26T00:00:00"/>
    <s v="9989011687"/>
    <s v="THE MELT (925 MARKET)"/>
    <n v="2"/>
    <x v="15"/>
  </r>
  <r>
    <d v="2024-11-26T00:00:00"/>
    <s v="9989011687"/>
    <s v="THE MELT (925 MARKET)"/>
    <n v="3"/>
    <x v="12"/>
  </r>
  <r>
    <d v="2024-11-26T00:00:00"/>
    <s v="9989011687"/>
    <s v="THE MELT (925 MARKET)"/>
    <n v="2"/>
    <x v="10"/>
  </r>
  <r>
    <d v="2024-11-26T00:00:00"/>
    <s v="9989011687"/>
    <s v="THE MELT (925 MARKET)"/>
    <n v="3"/>
    <x v="9"/>
  </r>
  <r>
    <d v="2024-11-26T00:00:00"/>
    <s v="9989011688"/>
    <s v="THE DEAD FISH"/>
    <n v="1"/>
    <x v="26"/>
  </r>
  <r>
    <d v="2024-11-26T00:00:00"/>
    <s v="9989011688"/>
    <s v="THE DEAD FISH"/>
    <n v="1"/>
    <x v="13"/>
  </r>
  <r>
    <d v="2024-11-26T00:00:00"/>
    <s v="9989011688"/>
    <s v="THE DEAD FISH"/>
    <n v="2"/>
    <x v="27"/>
  </r>
  <r>
    <d v="2024-11-26T00:00:00"/>
    <s v="9989011688"/>
    <s v="THE DEAD FISH"/>
    <n v="2"/>
    <x v="19"/>
  </r>
  <r>
    <d v="2024-11-26T00:00:00"/>
    <s v="9989011688"/>
    <s v="THE DEAD FISH"/>
    <n v="1"/>
    <x v="7"/>
  </r>
  <r>
    <d v="2024-11-26T00:00:00"/>
    <s v="9989011688"/>
    <s v="THE DEAD FISH"/>
    <n v="1"/>
    <x v="24"/>
  </r>
  <r>
    <d v="2024-11-26T00:00:00"/>
    <s v="9989011688"/>
    <s v="THE DEAD FISH"/>
    <n v="1"/>
    <x v="18"/>
  </r>
  <r>
    <d v="2024-11-26T00:00:00"/>
    <s v="9989011688"/>
    <s v="THE DEAD FISH"/>
    <n v="1"/>
    <x v="14"/>
  </r>
  <r>
    <d v="2024-11-26T00:00:00"/>
    <s v="9989011689"/>
    <s v="SCOMAS RESTAURANT"/>
    <n v="1"/>
    <x v="8"/>
  </r>
  <r>
    <d v="2024-11-26T00:00:00"/>
    <s v="9989011690"/>
    <s v="UCSF MEDICAL CENTER MISSION BAY"/>
    <n v="2"/>
    <x v="26"/>
  </r>
  <r>
    <d v="2024-11-26T00:00:00"/>
    <s v="9989011690"/>
    <s v="UCSF MEDICAL CENTER MISSION BAY"/>
    <n v="2"/>
    <x v="34"/>
  </r>
  <r>
    <d v="2024-11-26T00:00:00"/>
    <s v="9989011691"/>
    <s v="LA ROCCA CORNER"/>
    <n v="1"/>
    <x v="18"/>
  </r>
  <r>
    <d v="2024-11-26T00:00:00"/>
    <s v="9989011691"/>
    <s v="LA ROCCA CORNER"/>
    <n v="1"/>
    <x v="37"/>
  </r>
  <r>
    <d v="2024-11-26T00:00:00"/>
    <s v="9989011691"/>
    <s v="LA ROCCA CORNER"/>
    <n v="1"/>
    <x v="12"/>
  </r>
  <r>
    <d v="2024-11-26T00:00:00"/>
    <s v="9989011691"/>
    <s v="LA ROCCA CORNER"/>
    <n v="1"/>
    <x v="7"/>
  </r>
  <r>
    <d v="2024-11-26T00:00:00"/>
    <s v="9989011691"/>
    <s v="LA ROCCA CORNER"/>
    <n v="1"/>
    <x v="14"/>
  </r>
  <r>
    <d v="2024-11-26T00:00:00"/>
    <s v="9989011692"/>
    <s v="ACT - GEARY"/>
    <n v="2"/>
    <x v="15"/>
  </r>
  <r>
    <d v="2024-11-26T00:00:00"/>
    <s v="9989011692"/>
    <s v="ACT - GEARY"/>
    <n v="2"/>
    <x v="8"/>
  </r>
  <r>
    <d v="2024-11-26T00:00:00"/>
    <s v="9989011692"/>
    <s v="ACT - GEARY"/>
    <n v="1"/>
    <x v="12"/>
  </r>
  <r>
    <d v="2024-11-26T00:00:00"/>
    <s v="9989011692"/>
    <s v="ACT - GEARY"/>
    <n v="1"/>
    <x v="18"/>
  </r>
  <r>
    <d v="2024-11-26T00:00:00"/>
    <s v="9989011692"/>
    <s v="ACT - GEARY"/>
    <n v="1"/>
    <x v="14"/>
  </r>
  <r>
    <d v="2024-11-26T00:00:00"/>
    <s v="9989011692"/>
    <s v="ACT - GEARY"/>
    <n v="1"/>
    <x v="10"/>
  </r>
  <r>
    <d v="2024-11-26T00:00:00"/>
    <s v="9989011693"/>
    <s v="RICK &amp; ROXY'S-DEL MAR"/>
    <n v="1"/>
    <x v="8"/>
  </r>
  <r>
    <d v="2024-11-26T00:00:00"/>
    <s v="9989011693"/>
    <s v="RICK &amp; ROXY'S-DEL MAR"/>
    <n v="1"/>
    <x v="12"/>
  </r>
  <r>
    <d v="2024-11-26T00:00:00"/>
    <s v="9989011693"/>
    <s v="RICK &amp; ROXY'S-DEL MAR"/>
    <n v="1"/>
    <x v="37"/>
  </r>
  <r>
    <d v="2024-11-26T00:00:00"/>
    <s v="9989011693"/>
    <s v="RICK &amp; ROXY'S-DEL MAR"/>
    <n v="1"/>
    <x v="10"/>
  </r>
  <r>
    <d v="2024-11-26T00:00:00"/>
    <s v="9989011693"/>
    <s v="RICK &amp; ROXY'S-DEL MAR"/>
    <n v="1"/>
    <x v="18"/>
  </r>
  <r>
    <d v="2024-11-26T00:00:00"/>
    <s v="9989011693"/>
    <s v="RICK &amp; ROXY'S-DEL MAR"/>
    <n v="1"/>
    <x v="14"/>
  </r>
  <r>
    <d v="2024-11-26T00:00:00"/>
    <s v="9989011694"/>
    <s v="THE VILLA"/>
    <n v="1"/>
    <x v="15"/>
  </r>
  <r>
    <d v="2024-11-26T00:00:00"/>
    <s v="9989011694"/>
    <s v="THE VILLA"/>
    <n v="1"/>
    <x v="18"/>
  </r>
  <r>
    <d v="2024-11-26T00:00:00"/>
    <s v="9989011694"/>
    <s v="THE VILLA"/>
    <n v="1"/>
    <x v="14"/>
  </r>
  <r>
    <d v="2024-11-26T00:00:00"/>
    <s v="9989011695"/>
    <s v="UCSF MEDICAL CENTER PARNASSUS"/>
    <n v="1"/>
    <x v="26"/>
  </r>
  <r>
    <d v="2024-11-26T00:00:00"/>
    <s v="9989011695"/>
    <s v="UCSF MEDICAL CENTER PARNASSUS"/>
    <n v="2"/>
    <x v="34"/>
  </r>
  <r>
    <d v="2024-11-26T00:00:00"/>
    <s v="9989011695"/>
    <s v="UCSF MEDICAL CENTER PARNASSUS"/>
    <n v="1"/>
    <x v="32"/>
  </r>
  <r>
    <d v="2024-11-26T00:00:00"/>
    <s v="9989011695"/>
    <s v="UCSF MEDICAL CENTER PARNASSUS"/>
    <n v="1"/>
    <x v="31"/>
  </r>
  <r>
    <d v="2024-11-26T00:00:00"/>
    <s v="9989011695"/>
    <s v="UCSF MEDICAL CENTER PARNASSUS"/>
    <n v="1"/>
    <x v="35"/>
  </r>
  <r>
    <d v="2024-11-26T00:00:00"/>
    <s v="9989011695"/>
    <s v="UCSF MEDICAL CENTER PARNASSUS"/>
    <n v="1"/>
    <x v="24"/>
  </r>
  <r>
    <d v="2024-11-26T00:00:00"/>
    <s v="9989011695"/>
    <s v="UCSF MEDICAL CENTER PARNASSUS"/>
    <n v="1"/>
    <x v="36"/>
  </r>
  <r>
    <d v="2024-11-26T00:00:00"/>
    <s v="9989011696"/>
    <s v="BALBOA THEATER"/>
    <n v="1"/>
    <x v="12"/>
  </r>
  <r>
    <d v="2024-11-26T00:00:00"/>
    <s v="9989011696"/>
    <s v="BALBOA THEATER"/>
    <n v="2"/>
    <x v="5"/>
  </r>
  <r>
    <d v="2024-11-26T00:00:00"/>
    <s v="9989011696"/>
    <s v="BALBOA THEATER"/>
    <n v="1"/>
    <x v="7"/>
  </r>
  <r>
    <d v="2024-11-26T00:00:00"/>
    <s v="9989011697"/>
    <s v="CLUB MALLARD"/>
    <n v="1"/>
    <x v="12"/>
  </r>
  <r>
    <d v="2024-11-26T00:00:00"/>
    <s v="9989011698"/>
    <s v="LA TOQUE/BANK CAFE"/>
    <n v="2"/>
    <x v="8"/>
  </r>
  <r>
    <d v="2024-11-26T00:00:00"/>
    <s v="9989011698"/>
    <s v="LA TOQUE/BANK CAFE"/>
    <n v="2"/>
    <x v="15"/>
  </r>
  <r>
    <d v="2024-11-26T00:00:00"/>
    <s v="9989011698"/>
    <s v="LA TOQUE/BANK CAFE"/>
    <n v="2"/>
    <x v="19"/>
  </r>
  <r>
    <d v="2024-11-26T00:00:00"/>
    <s v="9989011699"/>
    <s v="HOMEROOM - BERKELEY"/>
    <n v="1"/>
    <x v="12"/>
  </r>
  <r>
    <d v="2024-11-26T00:00:00"/>
    <s v="9989011699"/>
    <s v="HOMEROOM - BERKELEY"/>
    <n v="1"/>
    <x v="8"/>
  </r>
  <r>
    <d v="2024-11-26T00:00:00"/>
    <s v="9989011699"/>
    <s v="HOMEROOM - BERKELEY"/>
    <n v="1"/>
    <x v="15"/>
  </r>
  <r>
    <d v="2024-11-26T00:00:00"/>
    <s v="9989011700"/>
    <s v="EAGLES HALL #2323"/>
    <n v="1"/>
    <x v="12"/>
  </r>
  <r>
    <d v="2024-11-26T00:00:00"/>
    <s v="9989011701"/>
    <s v="TRADE ROUTES"/>
    <n v="1"/>
    <x v="8"/>
  </r>
  <r>
    <d v="2024-11-26T00:00:00"/>
    <s v="9989011701"/>
    <s v="TRADE ROUTES"/>
    <n v="1"/>
    <x v="12"/>
  </r>
  <r>
    <d v="2024-11-26T00:00:00"/>
    <s v="9989011702"/>
    <s v="BERKELEY TAP HAUS"/>
    <n v="1"/>
    <x v="12"/>
  </r>
  <r>
    <d v="2024-11-26T00:00:00"/>
    <s v="9989011702"/>
    <s v="BERKELEY TAP HAUS"/>
    <n v="1"/>
    <x v="14"/>
  </r>
  <r>
    <d v="2024-11-26T00:00:00"/>
    <s v="9989011702"/>
    <s v="BERKELEY TAP HAUS"/>
    <n v="1"/>
    <x v="8"/>
  </r>
  <r>
    <d v="2024-11-26T00:00:00"/>
    <s v="9989011703"/>
    <s v="MONROE"/>
    <n v="1"/>
    <x v="8"/>
  </r>
  <r>
    <d v="2024-11-26T00:00:00"/>
    <s v="9989011703"/>
    <s v="MONROE"/>
    <n v="1"/>
    <x v="12"/>
  </r>
  <r>
    <d v="2024-11-26T00:00:00"/>
    <s v="9989011703"/>
    <s v="MONROE"/>
    <n v="1"/>
    <x v="15"/>
  </r>
  <r>
    <d v="2024-11-26T00:00:00"/>
    <s v="9989011703"/>
    <s v="MONROE"/>
    <n v="1"/>
    <x v="19"/>
  </r>
  <r>
    <d v="2024-11-26T00:00:00"/>
    <s v="9989011703"/>
    <s v="MONROE"/>
    <n v="1"/>
    <x v="18"/>
  </r>
  <r>
    <d v="2024-11-26T00:00:00"/>
    <s v="9989011703"/>
    <s v="MONROE"/>
    <n v="1"/>
    <x v="14"/>
  </r>
  <r>
    <d v="2024-11-26T00:00:00"/>
    <s v="9989011703"/>
    <s v="MONROE"/>
    <n v="1"/>
    <x v="21"/>
  </r>
  <r>
    <d v="2024-11-26T00:00:00"/>
    <s v="9989011703"/>
    <s v="MONROE"/>
    <n v="1"/>
    <x v="28"/>
  </r>
  <r>
    <d v="2024-11-26T00:00:00"/>
    <s v="9989011704"/>
    <s v="THE MELT (7TH @ FIG)"/>
    <n v="2"/>
    <x v="8"/>
  </r>
  <r>
    <d v="2024-11-26T00:00:00"/>
    <s v="9989011704"/>
    <s v="THE MELT (7TH @ FIG)"/>
    <n v="1"/>
    <x v="12"/>
  </r>
  <r>
    <d v="2024-11-26T00:00:00"/>
    <s v="9989011704"/>
    <s v="THE MELT (7TH @ FIG)"/>
    <n v="1"/>
    <x v="16"/>
  </r>
  <r>
    <d v="2024-11-26T00:00:00"/>
    <s v="9989011705"/>
    <s v="STARBIRD CHICKEN - MARINA DEL REY"/>
    <n v="2"/>
    <x v="15"/>
  </r>
  <r>
    <d v="2024-11-26T00:00:00"/>
    <s v="9989011705"/>
    <s v="STARBIRD CHICKEN - MARINA DEL REY"/>
    <n v="1"/>
    <x v="8"/>
  </r>
  <r>
    <d v="2024-11-26T00:00:00"/>
    <s v="9989011705"/>
    <s v="STARBIRD CHICKEN - MARINA DEL REY"/>
    <n v="1"/>
    <x v="5"/>
  </r>
  <r>
    <d v="2024-11-26T00:00:00"/>
    <s v="9989011705"/>
    <s v="STARBIRD CHICKEN - MARINA DEL REY"/>
    <n v="1"/>
    <x v="12"/>
  </r>
  <r>
    <d v="2024-11-26T00:00:00"/>
    <s v="9989011705"/>
    <s v="STARBIRD CHICKEN - MARINA DEL REY"/>
    <n v="1"/>
    <x v="23"/>
  </r>
  <r>
    <d v="2024-11-26T00:00:00"/>
    <s v="9989011705"/>
    <s v="STARBIRD CHICKEN - MARINA DEL REY"/>
    <n v="1"/>
    <x v="17"/>
  </r>
  <r>
    <d v="2024-11-26T00:00:00"/>
    <s v="9989011705"/>
    <s v="STARBIRD CHICKEN - MARINA DEL REY"/>
    <n v="2"/>
    <x v="10"/>
  </r>
  <r>
    <d v="2024-11-26T00:00:00"/>
    <s v="9989011705"/>
    <s v="STARBIRD CHICKEN - MARINA DEL REY"/>
    <n v="2"/>
    <x v="11"/>
  </r>
  <r>
    <d v="2024-11-26T00:00:00"/>
    <s v="9989011705"/>
    <s v="STARBIRD CHICKEN - MARINA DEL REY"/>
    <n v="1"/>
    <x v="3"/>
  </r>
  <r>
    <d v="2024-11-26T00:00:00"/>
    <s v="9989011706"/>
    <s v="ROSES ON ADELINE"/>
    <n v="1"/>
    <x v="15"/>
  </r>
  <r>
    <d v="2024-11-26T00:00:00"/>
    <s v="9989011707"/>
    <s v="THE NEW PARKWAY"/>
    <n v="3"/>
    <x v="8"/>
  </r>
  <r>
    <d v="2024-11-26T00:00:00"/>
    <s v="9989011707"/>
    <s v="THE NEW PARKWAY"/>
    <n v="1"/>
    <x v="9"/>
  </r>
  <r>
    <d v="2024-11-26T00:00:00"/>
    <s v="9989011708"/>
    <s v="HEINOLDS FIRST AND LAST CHANCE"/>
    <n v="1"/>
    <x v="10"/>
  </r>
  <r>
    <d v="2024-11-26T00:00:00"/>
    <s v="9989011708"/>
    <s v="HEINOLDS FIRST AND LAST CHANCE"/>
    <n v="1"/>
    <x v="8"/>
  </r>
  <r>
    <d v="2024-11-26T00:00:00"/>
    <s v="9989011708"/>
    <s v="HEINOLDS FIRST AND LAST CHANCE"/>
    <n v="1"/>
    <x v="20"/>
  </r>
  <r>
    <d v="2024-11-26T00:00:00"/>
    <s v="9989011708"/>
    <s v="HEINOLDS FIRST AND LAST CHANCE"/>
    <n v="2"/>
    <x v="11"/>
  </r>
  <r>
    <d v="2024-11-26T00:00:00"/>
    <s v="9989011709"/>
    <s v="THE STAR ON PARK"/>
    <n v="1"/>
    <x v="12"/>
  </r>
  <r>
    <d v="2024-11-26T00:00:00"/>
    <s v="9989011709"/>
    <s v="THE STAR ON PARK"/>
    <n v="1"/>
    <x v="8"/>
  </r>
  <r>
    <d v="2024-11-26T00:00:00"/>
    <s v="9989011709"/>
    <s v="THE STAR ON PARK"/>
    <n v="1"/>
    <x v="10"/>
  </r>
  <r>
    <d v="2024-11-27T00:00:00"/>
    <s v="9989011713"/>
    <s v="STARBIRD CHICKEN - FOSTER CITY"/>
    <n v="4"/>
    <x v="8"/>
  </r>
  <r>
    <d v="2024-11-27T00:00:00"/>
    <s v="9989011713"/>
    <s v="STARBIRD CHICKEN - FOSTER CITY"/>
    <n v="3"/>
    <x v="15"/>
  </r>
  <r>
    <d v="2024-11-27T00:00:00"/>
    <s v="9989011713"/>
    <s v="STARBIRD CHICKEN - FOSTER CITY"/>
    <n v="1"/>
    <x v="12"/>
  </r>
  <r>
    <d v="2024-11-27T00:00:00"/>
    <s v="9989011713"/>
    <s v="STARBIRD CHICKEN - FOSTER CITY"/>
    <n v="2"/>
    <x v="10"/>
  </r>
  <r>
    <d v="2024-11-27T00:00:00"/>
    <s v="9989011713"/>
    <s v="STARBIRD CHICKEN - FOSTER CITY"/>
    <n v="1"/>
    <x v="5"/>
  </r>
  <r>
    <d v="2024-11-27T00:00:00"/>
    <s v="9989011713"/>
    <s v="STARBIRD CHICKEN - FOSTER CITY"/>
    <n v="2"/>
    <x v="17"/>
  </r>
  <r>
    <d v="2024-11-27T00:00:00"/>
    <s v="9989011713"/>
    <s v="STARBIRD CHICKEN - FOSTER CITY"/>
    <n v="1"/>
    <x v="23"/>
  </r>
  <r>
    <d v="2024-11-27T00:00:00"/>
    <s v="9989011713"/>
    <s v="STARBIRD CHICKEN - FOSTER CITY"/>
    <n v="2"/>
    <x v="1"/>
  </r>
  <r>
    <d v="2024-11-27T00:00:00"/>
    <s v="9989011713"/>
    <s v="STARBIRD CHICKEN - FOSTER CITY"/>
    <n v="1"/>
    <x v="11"/>
  </r>
  <r>
    <d v="2024-11-27T00:00:00"/>
    <s v="9989011713"/>
    <s v="STARBIRD CHICKEN - FOSTER CITY"/>
    <n v="2"/>
    <x v="4"/>
  </r>
  <r>
    <d v="2024-11-27T00:00:00"/>
    <s v="9989011713"/>
    <s v="STARBIRD CHICKEN - FOSTER CITY"/>
    <n v="2"/>
    <x v="3"/>
  </r>
  <r>
    <d v="2024-11-27T00:00:00"/>
    <s v="9989011714"/>
    <s v="HEADLANDS BREWING - LAFAYETTE"/>
    <n v="1"/>
    <x v="8"/>
  </r>
  <r>
    <d v="2024-11-27T00:00:00"/>
    <s v="9989011714"/>
    <s v="HEADLANDS BREWING - LAFAYETTE"/>
    <n v="1"/>
    <x v="24"/>
  </r>
  <r>
    <d v="2024-11-27T00:00:00"/>
    <s v="9989011714"/>
    <s v="HEADLANDS BREWING - LAFAYETTE"/>
    <n v="1"/>
    <x v="12"/>
  </r>
  <r>
    <d v="2024-11-27T00:00:00"/>
    <s v="9989011714"/>
    <s v="HEADLANDS BREWING - LAFAYETTE"/>
    <n v="1"/>
    <x v="5"/>
  </r>
  <r>
    <d v="2024-11-27T00:00:00"/>
    <s v="9989011715"/>
    <s v="PANCOAST PIZZA"/>
    <n v="1"/>
    <x v="24"/>
  </r>
  <r>
    <d v="2024-11-27T00:00:00"/>
    <s v="9989011715"/>
    <s v="PANCOAST PIZZA"/>
    <n v="1"/>
    <x v="17"/>
  </r>
  <r>
    <d v="2024-11-27T00:00:00"/>
    <s v="9989011715"/>
    <s v="PANCOAST PIZZA"/>
    <n v="1"/>
    <x v="5"/>
  </r>
  <r>
    <d v="2024-11-27T00:00:00"/>
    <s v="9989011715"/>
    <s v="PANCOAST PIZZA"/>
    <n v="1"/>
    <x v="12"/>
  </r>
  <r>
    <d v="2024-11-27T00:00:00"/>
    <s v="9989011715"/>
    <s v="PANCOAST PIZZA"/>
    <n v="1"/>
    <x v="8"/>
  </r>
  <r>
    <d v="2024-11-27T00:00:00"/>
    <s v="9989011715"/>
    <s v="PANCOAST PIZZA"/>
    <n v="1"/>
    <x v="15"/>
  </r>
  <r>
    <d v="2024-11-27T00:00:00"/>
    <s v="9989011716"/>
    <s v="STATE OF MIND SLICE HOUSE  (PALO ALTO)"/>
    <n v="1"/>
    <x v="8"/>
  </r>
  <r>
    <d v="2024-11-27T00:00:00"/>
    <s v="9989011716"/>
    <s v="STATE OF MIND SLICE HOUSE  (PALO ALTO)"/>
    <n v="1"/>
    <x v="15"/>
  </r>
  <r>
    <d v="2024-11-27T00:00:00"/>
    <s v="9989011716"/>
    <s v="STATE OF MIND SLICE HOUSE  (PALO ALTO)"/>
    <n v="1"/>
    <x v="9"/>
  </r>
  <r>
    <d v="2024-11-27T00:00:00"/>
    <s v="9989011716"/>
    <s v="STATE OF MIND SLICE HOUSE  (PALO ALTO)"/>
    <n v="1"/>
    <x v="10"/>
  </r>
  <r>
    <d v="2024-11-27T00:00:00"/>
    <s v="9989011718"/>
    <s v="STATE OF MIND PUBLIC HOUSE &amp; PIZZERIA (LOS ALTOS)"/>
    <n v="2"/>
    <x v="8"/>
  </r>
  <r>
    <d v="2024-11-27T00:00:00"/>
    <s v="9989011718"/>
    <s v="STATE OF MIND PUBLIC HOUSE &amp; PIZZERIA (LOS ALTOS)"/>
    <n v="1"/>
    <x v="15"/>
  </r>
  <r>
    <d v="2024-11-27T00:00:00"/>
    <s v="9989011718"/>
    <s v="STATE OF MIND PUBLIC HOUSE &amp; PIZZERIA (LOS ALTOS)"/>
    <n v="1"/>
    <x v="12"/>
  </r>
  <r>
    <d v="2024-11-27T00:00:00"/>
    <s v="9989011718"/>
    <s v="STATE OF MIND PUBLIC HOUSE &amp; PIZZERIA (LOS ALTOS)"/>
    <n v="1"/>
    <x v="7"/>
  </r>
  <r>
    <d v="2024-11-27T00:00:00"/>
    <s v="9989011719"/>
    <s v="THE MELT (WEST HOLLYWOOD)"/>
    <n v="1"/>
    <x v="8"/>
  </r>
  <r>
    <d v="2024-11-27T00:00:00"/>
    <s v="9989011719"/>
    <s v="THE MELT (WEST HOLLYWOOD)"/>
    <n v="1"/>
    <x v="12"/>
  </r>
  <r>
    <d v="2024-11-27T00:00:00"/>
    <s v="9989011719"/>
    <s v="THE MELT (WEST HOLLYWOOD)"/>
    <n v="1"/>
    <x v="5"/>
  </r>
  <r>
    <d v="2024-11-27T00:00:00"/>
    <s v="9989011719"/>
    <s v="THE MELT (WEST HOLLYWOOD)"/>
    <n v="1"/>
    <x v="10"/>
  </r>
  <r>
    <d v="2024-11-27T00:00:00"/>
    <s v="9989011719"/>
    <s v="THE MELT (WEST HOLLYWOOD)"/>
    <n v="1"/>
    <x v="16"/>
  </r>
  <r>
    <d v="2024-11-27T00:00:00"/>
    <s v="9989011720"/>
    <s v="MONTE CARLO"/>
    <n v="6"/>
    <x v="28"/>
  </r>
  <r>
    <d v="2024-11-27T00:00:00"/>
    <s v="9989011720"/>
    <s v="MONTE CARLO"/>
    <n v="5"/>
    <x v="14"/>
  </r>
  <r>
    <d v="2024-11-27T00:00:00"/>
    <s v="9989011720"/>
    <s v="MONTE CARLO"/>
    <n v="4"/>
    <x v="29"/>
  </r>
  <r>
    <d v="2024-11-27T00:00:00"/>
    <s v="9989011720"/>
    <s v="MONTE CARLO"/>
    <n v="2"/>
    <x v="8"/>
  </r>
  <r>
    <d v="2024-11-27T00:00:00"/>
    <s v="9989011721"/>
    <s v="THE YARD"/>
    <n v="1"/>
    <x v="13"/>
  </r>
  <r>
    <d v="2024-11-27T00:00:00"/>
    <s v="9989011721"/>
    <s v="THE YARD"/>
    <n v="2"/>
    <x v="5"/>
  </r>
  <r>
    <d v="2024-11-27T00:00:00"/>
    <s v="9989011722"/>
    <s v="THE MELT (SUNNYVALE #0043)"/>
    <n v="1"/>
    <x v="10"/>
  </r>
  <r>
    <d v="2024-11-27T00:00:00"/>
    <s v="9989011722"/>
    <s v="THE MELT (SUNNYVALE #0043)"/>
    <n v="1"/>
    <x v="5"/>
  </r>
  <r>
    <d v="2024-11-27T00:00:00"/>
    <s v="9989011723"/>
    <s v="STARBIRD CHICKEN - SAN JOSE"/>
    <n v="2"/>
    <x v="8"/>
  </r>
  <r>
    <d v="2024-11-27T00:00:00"/>
    <s v="9989011723"/>
    <s v="STARBIRD CHICKEN - SAN JOSE"/>
    <n v="1"/>
    <x v="5"/>
  </r>
  <r>
    <d v="2024-11-27T00:00:00"/>
    <s v="9989011723"/>
    <s v="STARBIRD CHICKEN - SAN JOSE"/>
    <n v="1"/>
    <x v="15"/>
  </r>
  <r>
    <d v="2024-11-27T00:00:00"/>
    <s v="9989011723"/>
    <s v="STARBIRD CHICKEN - SAN JOSE"/>
    <n v="1"/>
    <x v="17"/>
  </r>
  <r>
    <d v="2024-11-27T00:00:00"/>
    <s v="9989011723"/>
    <s v="STARBIRD CHICKEN - SAN JOSE"/>
    <n v="1"/>
    <x v="1"/>
  </r>
  <r>
    <d v="2024-11-27T00:00:00"/>
    <s v="9989011723"/>
    <s v="STARBIRD CHICKEN - SAN JOSE"/>
    <n v="1"/>
    <x v="4"/>
  </r>
  <r>
    <d v="2024-11-27T00:00:00"/>
    <s v="9989011723"/>
    <s v="STARBIRD CHICKEN - SAN JOSE"/>
    <n v="1"/>
    <x v="3"/>
  </r>
  <r>
    <d v="2024-11-27T00:00:00"/>
    <s v="9989011724"/>
    <s v="ALMANAC"/>
    <n v="4"/>
    <x v="20"/>
  </r>
  <r>
    <d v="2024-11-27T00:00:00"/>
    <s v="9989011725"/>
    <s v="THE MELT (SANTA CLARA 0045)"/>
    <n v="2"/>
    <x v="8"/>
  </r>
  <r>
    <d v="2024-11-27T00:00:00"/>
    <s v="9989011725"/>
    <s v="THE MELT (SANTA CLARA 0045)"/>
    <n v="1"/>
    <x v="5"/>
  </r>
  <r>
    <d v="2024-11-27T00:00:00"/>
    <s v="9989011725"/>
    <s v="THE MELT (SANTA CLARA 0045)"/>
    <n v="1"/>
    <x v="15"/>
  </r>
  <r>
    <d v="2024-11-27T00:00:00"/>
    <s v="9989011725"/>
    <s v="THE MELT (SANTA CLARA 0045)"/>
    <n v="1"/>
    <x v="12"/>
  </r>
  <r>
    <d v="2024-11-27T00:00:00"/>
    <s v="9989011725"/>
    <s v="THE MELT (SANTA CLARA 0045)"/>
    <n v="2"/>
    <x v="10"/>
  </r>
  <r>
    <d v="2024-11-27T00:00:00"/>
    <s v="9989011726"/>
    <s v="CALI KID BURGERS AND SHAKES"/>
    <n v="1"/>
    <x v="8"/>
  </r>
  <r>
    <d v="2024-11-27T00:00:00"/>
    <s v="9989011726"/>
    <s v="CALI KID BURGERS AND SHAKES"/>
    <n v="1"/>
    <x v="15"/>
  </r>
  <r>
    <d v="2024-11-27T00:00:00"/>
    <s v="9989011726"/>
    <s v="CALI KID BURGERS AND SHAKES"/>
    <n v="1"/>
    <x v="17"/>
  </r>
  <r>
    <d v="2024-11-27T00:00:00"/>
    <s v="9989011726"/>
    <s v="CALI KID BURGERS AND SHAKES"/>
    <n v="1"/>
    <x v="5"/>
  </r>
  <r>
    <d v="2024-11-27T00:00:00"/>
    <s v="9989011726"/>
    <s v="CALI KID BURGERS AND SHAKES"/>
    <n v="1"/>
    <x v="10"/>
  </r>
  <r>
    <d v="2024-11-27T00:00:00"/>
    <s v="9989011728"/>
    <s v="THE STAR ON PARK"/>
    <n v="1"/>
    <x v="14"/>
  </r>
  <r>
    <d v="2024-11-27T00:00:00"/>
    <s v="9989011729"/>
    <s v="DANVILLE BREWERY"/>
    <n v="1"/>
    <x v="26"/>
  </r>
  <r>
    <d v="2024-11-27T00:00:00"/>
    <s v="9989011729"/>
    <s v="DANVILLE BREWERY"/>
    <n v="1"/>
    <x v="13"/>
  </r>
  <r>
    <d v="2024-11-27T00:00:00"/>
    <s v="9989011729"/>
    <s v="DANVILLE BREWERY"/>
    <n v="1"/>
    <x v="5"/>
  </r>
  <r>
    <d v="2024-11-27T00:00:00"/>
    <s v="9989011730"/>
    <s v="SLICE HOUSE"/>
    <n v="1"/>
    <x v="8"/>
  </r>
  <r>
    <d v="2024-11-27T00:00:00"/>
    <s v="9989011730"/>
    <s v="SLICE HOUSE"/>
    <n v="1"/>
    <x v="5"/>
  </r>
  <r>
    <d v="2024-11-27T00:00:00"/>
    <s v="9989011730"/>
    <s v="SLICE HOUSE"/>
    <n v="1"/>
    <x v="29"/>
  </r>
  <r>
    <d v="2024-11-27T00:00:00"/>
    <s v="9989011731"/>
    <s v="ARAMARK dba LIFEWORKS - QUARTER CAFE"/>
    <n v="1"/>
    <x v="15"/>
  </r>
  <r>
    <d v="2024-11-27T00:00:00"/>
    <s v="9989011731"/>
    <s v="ARAMARK dba LIFEWORKS - QUARTER CAFE"/>
    <n v="1"/>
    <x v="8"/>
  </r>
  <r>
    <d v="2024-11-27T00:00:00"/>
    <s v="9989011731"/>
    <s v="ARAMARK dba LIFEWORKS - QUARTER CAFE"/>
    <n v="1"/>
    <x v="19"/>
  </r>
  <r>
    <d v="2024-11-27T00:00:00"/>
    <s v="9989011731"/>
    <s v="ARAMARK dba LIFEWORKS - QUARTER CAFE"/>
    <n v="1"/>
    <x v="12"/>
  </r>
  <r>
    <d v="2024-11-27T00:00:00"/>
    <s v="9989011731"/>
    <s v="ARAMARK dba LIFEWORKS - QUARTER CAFE"/>
    <n v="1"/>
    <x v="5"/>
  </r>
  <r>
    <d v="2024-11-27T00:00:00"/>
    <s v="9989011731"/>
    <s v="ARAMARK dba LIFEWORKS - QUARTER CAFE"/>
    <n v="1"/>
    <x v="9"/>
  </r>
  <r>
    <d v="2024-11-27T00:00:00"/>
    <s v="9989011732"/>
    <s v="THE MELT (DANVILLE)"/>
    <n v="1"/>
    <x v="16"/>
  </r>
  <r>
    <d v="2024-11-27T00:00:00"/>
    <s v="9989011732"/>
    <s v="THE MELT (DANVILLE)"/>
    <n v="1"/>
    <x v="15"/>
  </r>
  <r>
    <d v="2024-11-27T00:00:00"/>
    <s v="9989011732"/>
    <s v="THE MELT (DANVILLE)"/>
    <n v="1"/>
    <x v="12"/>
  </r>
  <r>
    <d v="2024-11-27T00:00:00"/>
    <s v="9989011733"/>
    <s v="BRIX BEVERAGE - SAMPLING"/>
    <n v="2"/>
    <x v="11"/>
  </r>
  <r>
    <d v="2024-11-27T00:00:00"/>
    <s v="9989011734"/>
    <s v="PAUL &amp; EDDIES &amp; ASSOCIATES"/>
    <n v="1"/>
    <x v="18"/>
  </r>
  <r>
    <d v="2024-11-27T00:00:00"/>
    <s v="9989011734"/>
    <s v="PAUL &amp; EDDIES &amp; ASSOCIATES"/>
    <n v="1"/>
    <x v="8"/>
  </r>
  <r>
    <d v="2024-11-27T00:00:00"/>
    <s v="9989011735"/>
    <s v="EAST BAY NATURAL GROCERY"/>
    <n v="1"/>
    <x v="20"/>
  </r>
  <r>
    <d v="2024-11-27T00:00:00"/>
    <s v="9989011735"/>
    <s v="EAST BAY NATURAL GROCERY"/>
    <n v="1"/>
    <x v="3"/>
  </r>
  <r>
    <d v="2024-11-27T00:00:00"/>
    <s v="9989011735"/>
    <s v="EAST BAY NATURAL GROCERY"/>
    <n v="2"/>
    <x v="4"/>
  </r>
  <r>
    <d v="2024-11-27T00:00:00"/>
    <s v="9989011735"/>
    <s v="EAST BAY NATURAL GROCERY"/>
    <n v="1"/>
    <x v="0"/>
  </r>
  <r>
    <d v="2024-11-27T00:00:00"/>
    <s v="9989011735"/>
    <s v="EAST BAY NATURAL GROCERY"/>
    <n v="2"/>
    <x v="1"/>
  </r>
  <r>
    <d v="2024-11-27T00:00:00"/>
    <s v="9989011735"/>
    <s v="EAST BAY NATURAL GROCERY"/>
    <n v="1"/>
    <x v="11"/>
  </r>
  <r>
    <d v="2024-11-27T00:00:00"/>
    <s v="9989011736"/>
    <s v="RIVERVIEW LODGE"/>
    <n v="5"/>
    <x v="8"/>
  </r>
  <r>
    <d v="2024-11-27T00:00:00"/>
    <s v="9989011736"/>
    <s v="RIVERVIEW LODGE"/>
    <n v="5"/>
    <x v="15"/>
  </r>
  <r>
    <d v="2024-11-27T00:00:00"/>
    <s v="9989011736"/>
    <s v="RIVERVIEW LODGE"/>
    <n v="4"/>
    <x v="12"/>
  </r>
  <r>
    <d v="2024-11-27T00:00:00"/>
    <s v="9989011736"/>
    <s v="RIVERVIEW LODGE"/>
    <n v="2"/>
    <x v="24"/>
  </r>
  <r>
    <d v="2024-11-27T00:00:00"/>
    <s v="9989011736"/>
    <s v="RIVERVIEW LODGE"/>
    <n v="4"/>
    <x v="7"/>
  </r>
  <r>
    <d v="2024-11-27T00:00:00"/>
    <s v="9989011736"/>
    <s v="RIVERVIEW LODGE"/>
    <n v="4"/>
    <x v="5"/>
  </r>
  <r>
    <d v="2024-11-27T00:00:00"/>
    <s v="9989011736"/>
    <s v="RIVERVIEW LODGE"/>
    <n v="2"/>
    <x v="14"/>
  </r>
  <r>
    <d v="2024-11-27T00:00:00"/>
    <s v="9989011736"/>
    <s v="RIVERVIEW LODGE"/>
    <n v="2"/>
    <x v="24"/>
  </r>
  <r>
    <d v="2024-11-27T00:00:00"/>
    <s v="9989011737"/>
    <s v="STARBIRD - TASTES ON THE FLY SF"/>
    <n v="1"/>
    <x v="8"/>
  </r>
  <r>
    <d v="2024-11-27T00:00:00"/>
    <s v="9989011737"/>
    <s v="STARBIRD - TASTES ON THE FLY SF"/>
    <n v="2"/>
    <x v="15"/>
  </r>
  <r>
    <d v="2024-11-27T00:00:00"/>
    <s v="9989011737"/>
    <s v="STARBIRD - TASTES ON THE FLY SF"/>
    <n v="1"/>
    <x v="9"/>
  </r>
  <r>
    <d v="2024-11-27T00:00:00"/>
    <s v="9989011738"/>
    <s v="ALAMEDA BREWING"/>
    <n v="3"/>
    <x v="4"/>
  </r>
  <r>
    <d v="2024-11-27T00:00:00"/>
    <s v="9989011738"/>
    <s v="ALAMEDA BREWING"/>
    <n v="2"/>
    <x v="20"/>
  </r>
  <r>
    <d v="2024-11-27T00:00:00"/>
    <s v="9989011738"/>
    <s v="ALAMEDA BREWING"/>
    <n v="2"/>
    <x v="0"/>
  </r>
  <r>
    <d v="2024-11-27T00:00:00"/>
    <s v="9989011738"/>
    <s v="ALAMEDA BREWING"/>
    <n v="1"/>
    <x v="11"/>
  </r>
  <r>
    <d v="2024-11-27T00:00:00"/>
    <s v="9989011738"/>
    <s v="ALAMEDA BREWING"/>
    <n v="1"/>
    <x v="1"/>
  </r>
  <r>
    <d v="2024-11-27T00:00:00"/>
    <s v="9989011739"/>
    <s v="SCOLARIS ON PARK ST"/>
    <n v="4"/>
    <x v="1"/>
  </r>
  <r>
    <d v="2024-11-27T00:00:00"/>
    <s v="9989011739"/>
    <s v="SCOLARIS ON PARK ST"/>
    <n v="1"/>
    <x v="4"/>
  </r>
  <r>
    <d v="2024-11-27T00:00:00"/>
    <s v="9989011739"/>
    <s v="SCOLARIS ON PARK ST"/>
    <n v="5"/>
    <x v="3"/>
  </r>
  <r>
    <d v="2024-11-27T00:00:00"/>
    <s v="9989011739"/>
    <s v="SCOLARIS ON PARK ST"/>
    <n v="5"/>
    <x v="2"/>
  </r>
  <r>
    <d v="2024-12-02T00:00:00"/>
    <s v="9989011745"/>
    <s v="BRIX BEVERAGE - SAMPLING"/>
    <n v="1"/>
    <x v="1"/>
  </r>
  <r>
    <d v="2024-12-03T00:00:00"/>
    <s v="9989011746"/>
    <s v="THE MELT (80 GRAND)"/>
    <n v="4"/>
    <x v="8"/>
  </r>
  <r>
    <d v="2024-12-03T00:00:00"/>
    <s v="9989011746"/>
    <s v="THE MELT (80 GRAND)"/>
    <n v="1"/>
    <x v="10"/>
  </r>
  <r>
    <d v="2024-12-03T00:00:00"/>
    <s v="9989011746"/>
    <s v="THE MELT (80 GRAND)"/>
    <n v="1"/>
    <x v="12"/>
  </r>
  <r>
    <d v="2024-12-03T00:00:00"/>
    <s v="9989011746"/>
    <s v="THE MELT (80 GRAND)"/>
    <n v="2"/>
    <x v="5"/>
  </r>
  <r>
    <d v="2024-12-03T00:00:00"/>
    <s v="9989011747"/>
    <s v="PIXAR ANIMATION STUDIOS"/>
    <n v="1"/>
    <x v="15"/>
  </r>
  <r>
    <d v="2024-12-03T00:00:00"/>
    <s v="9989011747"/>
    <s v="PIXAR ANIMATION STUDIOS"/>
    <n v="1"/>
    <x v="5"/>
  </r>
  <r>
    <d v="2024-12-03T00:00:00"/>
    <s v="9989011747"/>
    <s v="PIXAR ANIMATION STUDIOS"/>
    <n v="1"/>
    <x v="7"/>
  </r>
  <r>
    <d v="2024-12-03T00:00:00"/>
    <s v="9989011747"/>
    <s v="PIXAR ANIMATION STUDIOS"/>
    <n v="1"/>
    <x v="6"/>
  </r>
  <r>
    <d v="2024-12-03T00:00:00"/>
    <s v="9989011747"/>
    <s v="PIXAR ANIMATION STUDIOS"/>
    <n v="1"/>
    <x v="38"/>
  </r>
  <r>
    <d v="2024-12-03T00:00:00"/>
    <s v="9989011748"/>
    <s v="LITTLE STAR SOLANO"/>
    <n v="1"/>
    <x v="10"/>
  </r>
  <r>
    <d v="2024-12-03T00:00:00"/>
    <s v="9989011749"/>
    <s v="THE MELT (455 MARKET)"/>
    <n v="1"/>
    <x v="8"/>
  </r>
  <r>
    <d v="2024-12-03T00:00:00"/>
    <s v="9989011749"/>
    <s v="THE MELT (455 MARKET)"/>
    <n v="2"/>
    <x v="5"/>
  </r>
  <r>
    <d v="2024-12-03T00:00:00"/>
    <s v="9989011749"/>
    <s v="THE MELT (455 MARKET)"/>
    <n v="1"/>
    <x v="9"/>
  </r>
  <r>
    <d v="2024-12-03T00:00:00"/>
    <s v="9989011749"/>
    <s v="THE MELT (455 MARKET)"/>
    <n v="1"/>
    <x v="12"/>
  </r>
  <r>
    <d v="2024-12-03T00:00:00"/>
    <s v="9989011749"/>
    <s v="THE MELT (455 MARKET)"/>
    <n v="1"/>
    <x v="15"/>
  </r>
  <r>
    <d v="2024-12-03T00:00:00"/>
    <s v="9989011749"/>
    <s v="THE MELT (455 MARKET)"/>
    <n v="1"/>
    <x v="10"/>
  </r>
  <r>
    <d v="2024-12-03T00:00:00"/>
    <s v="9989011750"/>
    <s v="THE RANCHO SALOON"/>
    <n v="1"/>
    <x v="15"/>
  </r>
  <r>
    <d v="2024-12-03T00:00:00"/>
    <s v="9989011750"/>
    <s v="THE RANCHO SALOON"/>
    <n v="1"/>
    <x v="21"/>
  </r>
  <r>
    <d v="2024-12-03T00:00:00"/>
    <s v="9989011750"/>
    <s v="THE RANCHO SALOON"/>
    <n v="1"/>
    <x v="22"/>
  </r>
  <r>
    <d v="2024-12-03T00:00:00"/>
    <s v="9989011752"/>
    <s v="SCOMAS RESTAURANT"/>
    <n v="1"/>
    <x v="15"/>
  </r>
  <r>
    <d v="2024-12-03T00:00:00"/>
    <s v="9989011755"/>
    <s v="TRIPLE ROCK BREWING COMPANY"/>
    <n v="2"/>
    <x v="10"/>
  </r>
  <r>
    <d v="2024-12-03T00:00:00"/>
    <s v="9989011755"/>
    <s v="TRIPLE ROCK BREWING COMPANY"/>
    <n v="1"/>
    <x v="5"/>
  </r>
  <r>
    <d v="2024-12-03T00:00:00"/>
    <s v="9989011755"/>
    <s v="TRIPLE ROCK BREWING COMPANY"/>
    <n v="1"/>
    <x v="7"/>
  </r>
  <r>
    <d v="2024-12-03T00:00:00"/>
    <s v="9989011756"/>
    <s v="SPATS"/>
    <n v="1"/>
    <x v="8"/>
  </r>
  <r>
    <d v="2024-12-03T00:00:00"/>
    <s v="9989011756"/>
    <s v="SPATS"/>
    <n v="1"/>
    <x v="15"/>
  </r>
  <r>
    <d v="2024-12-03T00:00:00"/>
    <s v="9989011756"/>
    <s v="SPATS"/>
    <n v="1"/>
    <x v="18"/>
  </r>
  <r>
    <d v="2024-12-03T00:00:00"/>
    <s v="9989011757"/>
    <s v="JUPITER"/>
    <n v="1"/>
    <x v="13"/>
  </r>
  <r>
    <d v="2024-12-03T00:00:00"/>
    <s v="9989011757"/>
    <s v="JUPITER"/>
    <n v="2"/>
    <x v="27"/>
  </r>
  <r>
    <d v="2024-12-03T00:00:00"/>
    <s v="9989011757"/>
    <s v="JUPITER"/>
    <n v="3"/>
    <x v="5"/>
  </r>
  <r>
    <d v="2024-12-03T00:00:00"/>
    <s v="9989011758"/>
    <s v="CLUB MALIBU"/>
    <n v="1"/>
    <x v="22"/>
  </r>
  <r>
    <d v="2024-12-03T00:00:00"/>
    <s v="9989011758"/>
    <s v="CLUB MALIBU"/>
    <n v="2"/>
    <x v="14"/>
  </r>
  <r>
    <d v="2024-12-03T00:00:00"/>
    <s v="9989011758"/>
    <s v="CLUB MALIBU"/>
    <n v="1"/>
    <x v="8"/>
  </r>
  <r>
    <d v="2024-12-03T00:00:00"/>
    <s v="9989011759"/>
    <s v="MISSOURI LOUNGE &amp; CAFE"/>
    <n v="1"/>
    <x v="14"/>
  </r>
  <r>
    <d v="2024-12-03T00:00:00"/>
    <s v="9989011759"/>
    <s v="MISSOURI LOUNGE &amp; CAFE"/>
    <n v="1"/>
    <x v="18"/>
  </r>
  <r>
    <d v="2024-12-03T00:00:00"/>
    <s v="9989011759"/>
    <s v="MISSOURI LOUNGE &amp; CAFE"/>
    <n v="1"/>
    <x v="8"/>
  </r>
  <r>
    <d v="2024-12-03T00:00:00"/>
    <s v="9989011759"/>
    <s v="MISSOURI LOUNGE &amp; CAFE"/>
    <n v="1"/>
    <x v="12"/>
  </r>
  <r>
    <d v="2024-12-03T00:00:00"/>
    <s v="9989011759"/>
    <s v="MISSOURI LOUNGE &amp; CAFE"/>
    <n v="1"/>
    <x v="10"/>
  </r>
  <r>
    <d v="2024-12-03T00:00:00"/>
    <s v="9989011760"/>
    <s v="BEERYLAND -(TELEGRAPH BEER GARDEN)"/>
    <n v="1"/>
    <x v="12"/>
  </r>
  <r>
    <d v="2024-12-03T00:00:00"/>
    <s v="9989011760"/>
    <s v="BEERYLAND -(TELEGRAPH BEER GARDEN)"/>
    <n v="1"/>
    <x v="10"/>
  </r>
  <r>
    <d v="2024-12-03T00:00:00"/>
    <s v="9989011761"/>
    <s v="WOLFHOUND"/>
    <n v="1"/>
    <x v="8"/>
  </r>
  <r>
    <d v="2024-12-03T00:00:00"/>
    <s v="9989011761"/>
    <s v="WOLFHOUND"/>
    <n v="1"/>
    <x v="19"/>
  </r>
  <r>
    <d v="2024-12-03T00:00:00"/>
    <s v="9989011762"/>
    <s v="THE AVENUE"/>
    <n v="1"/>
    <x v="18"/>
  </r>
  <r>
    <d v="2024-12-03T00:00:00"/>
    <s v="9989011762"/>
    <s v="THE AVENUE"/>
    <n v="1"/>
    <x v="22"/>
  </r>
  <r>
    <d v="2024-12-03T00:00:00"/>
    <s v="9989011762"/>
    <s v="THE AVENUE"/>
    <n v="1"/>
    <x v="14"/>
  </r>
  <r>
    <d v="2024-12-03T00:00:00"/>
    <s v="9989011762"/>
    <s v="THE AVENUE"/>
    <n v="1"/>
    <x v="8"/>
  </r>
  <r>
    <d v="2024-12-03T00:00:00"/>
    <s v="9989011763"/>
    <s v="STARBIRD CHICKEN - HERMOSA BEACH"/>
    <n v="2"/>
    <x v="8"/>
  </r>
  <r>
    <d v="2024-12-03T00:00:00"/>
    <s v="9989011763"/>
    <s v="STARBIRD CHICKEN - HERMOSA BEACH"/>
    <n v="1"/>
    <x v="17"/>
  </r>
  <r>
    <d v="2024-12-03T00:00:00"/>
    <s v="9989011763"/>
    <s v="STARBIRD CHICKEN - HERMOSA BEACH"/>
    <n v="1"/>
    <x v="23"/>
  </r>
  <r>
    <d v="2024-12-03T00:00:00"/>
    <s v="9989011763"/>
    <s v="STARBIRD CHICKEN - HERMOSA BEACH"/>
    <n v="1"/>
    <x v="1"/>
  </r>
  <r>
    <d v="2024-12-03T00:00:00"/>
    <s v="9989011764"/>
    <s v="THE MELT (IRVINE SPECTRUM)"/>
    <n v="5"/>
    <x v="8"/>
  </r>
  <r>
    <d v="2024-12-03T00:00:00"/>
    <s v="9989011764"/>
    <s v="THE MELT (IRVINE SPECTRUM)"/>
    <n v="3"/>
    <x v="16"/>
  </r>
  <r>
    <d v="2024-12-03T00:00:00"/>
    <s v="9989011764"/>
    <s v="THE MELT (IRVINE SPECTRUM)"/>
    <n v="3"/>
    <x v="5"/>
  </r>
  <r>
    <d v="2024-12-03T00:00:00"/>
    <s v="9989011764"/>
    <s v="THE MELT (IRVINE SPECTRUM)"/>
    <n v="3"/>
    <x v="9"/>
  </r>
  <r>
    <d v="2024-12-03T00:00:00"/>
    <s v="9989011764"/>
    <s v="THE MELT (IRVINE SPECTRUM)"/>
    <n v="2"/>
    <x v="10"/>
  </r>
  <r>
    <d v="2024-12-03T00:00:00"/>
    <s v="9989011764"/>
    <s v="THE MELT (IRVINE SPECTRUM)"/>
    <n v="1"/>
    <x v="15"/>
  </r>
  <r>
    <d v="2024-12-03T00:00:00"/>
    <s v="9989011764"/>
    <s v="THE MELT (IRVINE SPECTRUM)"/>
    <n v="1"/>
    <x v="12"/>
  </r>
  <r>
    <d v="2024-12-04T00:00:00"/>
    <s v="9989011766"/>
    <s v="CANYON CLUB BREWERY"/>
    <n v="1"/>
    <x v="10"/>
  </r>
  <r>
    <d v="2024-12-04T00:00:00"/>
    <s v="9989011766"/>
    <s v="CANYON CLUB BREWERY"/>
    <n v="1"/>
    <x v="7"/>
  </r>
  <r>
    <d v="2024-12-04T00:00:00"/>
    <s v="9989011766"/>
    <s v="CANYON CLUB BREWERY"/>
    <n v="1"/>
    <x v="15"/>
  </r>
  <r>
    <d v="2024-12-04T00:00:00"/>
    <s v="9989011768"/>
    <s v="BEST WESTERN EL RANCHO INN"/>
    <n v="2"/>
    <x v="25"/>
  </r>
  <r>
    <d v="2024-12-04T00:00:00"/>
    <s v="9989011768"/>
    <s v="BEST WESTERN EL RANCHO INN"/>
    <n v="2"/>
    <x v="21"/>
  </r>
  <r>
    <d v="2024-12-04T00:00:00"/>
    <s v="9989011768"/>
    <s v="BEST WESTERN EL RANCHO INN"/>
    <n v="1"/>
    <x v="14"/>
  </r>
  <r>
    <d v="2024-12-04T00:00:00"/>
    <s v="9989011769"/>
    <s v="TEMPLE BAR -SFO"/>
    <n v="1"/>
    <x v="15"/>
  </r>
  <r>
    <d v="2024-12-04T00:00:00"/>
    <s v="9989011769"/>
    <s v="TEMPLE BAR -SFO"/>
    <n v="1"/>
    <x v="8"/>
  </r>
  <r>
    <d v="2024-12-04T00:00:00"/>
    <s v="9989011769"/>
    <s v="TEMPLE BAR -SFO"/>
    <n v="1"/>
    <x v="19"/>
  </r>
  <r>
    <d v="2024-12-04T00:00:00"/>
    <s v="9989011769"/>
    <s v="TEMPLE BAR -SFO"/>
    <n v="1"/>
    <x v="12"/>
  </r>
  <r>
    <d v="2024-12-04T00:00:00"/>
    <s v="9989011769"/>
    <s v="TEMPLE BAR -SFO"/>
    <n v="1"/>
    <x v="18"/>
  </r>
  <r>
    <d v="2024-12-04T00:00:00"/>
    <s v="9989011769"/>
    <s v="TEMPLE BAR -SFO"/>
    <n v="1"/>
    <x v="14"/>
  </r>
  <r>
    <d v="2024-12-04T00:00:00"/>
    <s v="9989011770"/>
    <s v="IL PAVONE"/>
    <n v="2"/>
    <x v="8"/>
  </r>
  <r>
    <d v="2024-12-04T00:00:00"/>
    <s v="9989011770"/>
    <s v="IL PAVONE"/>
    <n v="2"/>
    <x v="12"/>
  </r>
  <r>
    <d v="2024-12-04T00:00:00"/>
    <s v="9989011770"/>
    <s v="IL PAVONE"/>
    <n v="1"/>
    <x v="15"/>
  </r>
  <r>
    <d v="2024-12-04T00:00:00"/>
    <s v="9989011770"/>
    <s v="IL PAVONE"/>
    <n v="1"/>
    <x v="19"/>
  </r>
  <r>
    <d v="2024-12-04T00:00:00"/>
    <s v="9989011770"/>
    <s v="IL PAVONE"/>
    <n v="1"/>
    <x v="7"/>
  </r>
  <r>
    <d v="2024-12-04T00:00:00"/>
    <s v="9989011771"/>
    <s v="ROCCA RESTAURANT"/>
    <n v="1"/>
    <x v="7"/>
  </r>
  <r>
    <d v="2024-12-04T00:00:00"/>
    <s v="9989011771"/>
    <s v="ROCCA RESTAURANT"/>
    <n v="1"/>
    <x v="12"/>
  </r>
  <r>
    <d v="2024-12-04T00:00:00"/>
    <s v="9989011773"/>
    <s v="CAMINO'S"/>
    <n v="1"/>
    <x v="26"/>
  </r>
  <r>
    <d v="2024-12-04T00:00:00"/>
    <s v="9989011773"/>
    <s v="CAMINO'S"/>
    <n v="1"/>
    <x v="13"/>
  </r>
  <r>
    <d v="2024-12-04T00:00:00"/>
    <s v="9989011773"/>
    <s v="CAMINO'S"/>
    <n v="1"/>
    <x v="29"/>
  </r>
  <r>
    <d v="2024-12-04T00:00:00"/>
    <s v="9989011774"/>
    <s v="SALTYARD RESTAURANT &amp; BAR"/>
    <n v="1"/>
    <x v="14"/>
  </r>
  <r>
    <d v="2024-12-04T00:00:00"/>
    <s v="9989011774"/>
    <s v="SALTYARD RESTAURANT &amp; BAR"/>
    <n v="1"/>
    <x v="21"/>
  </r>
  <r>
    <d v="2024-12-04T00:00:00"/>
    <s v="9989011774"/>
    <s v="SALTYARD RESTAURANT &amp; BAR"/>
    <n v="1"/>
    <x v="18"/>
  </r>
  <r>
    <d v="2024-12-04T00:00:00"/>
    <s v="9989011774"/>
    <s v="SALTYARD RESTAURANT &amp; BAR"/>
    <n v="2"/>
    <x v="12"/>
  </r>
  <r>
    <d v="2024-12-04T00:00:00"/>
    <s v="9989011776"/>
    <s v="STARBIRD CHICKEN - WALNUT CREEK"/>
    <n v="2"/>
    <x v="8"/>
  </r>
  <r>
    <d v="2024-12-04T00:00:00"/>
    <s v="9989011776"/>
    <s v="STARBIRD CHICKEN - WALNUT CREEK"/>
    <n v="2"/>
    <x v="15"/>
  </r>
  <r>
    <d v="2024-12-04T00:00:00"/>
    <s v="9989011776"/>
    <s v="STARBIRD CHICKEN - WALNUT CREEK"/>
    <n v="1"/>
    <x v="12"/>
  </r>
  <r>
    <d v="2024-12-04T00:00:00"/>
    <s v="9989011776"/>
    <s v="STARBIRD CHICKEN - WALNUT CREEK"/>
    <n v="3"/>
    <x v="5"/>
  </r>
  <r>
    <d v="2024-12-04T00:00:00"/>
    <s v="9989011776"/>
    <s v="STARBIRD CHICKEN - WALNUT CREEK"/>
    <n v="1"/>
    <x v="10"/>
  </r>
  <r>
    <d v="2024-12-04T00:00:00"/>
    <s v="9989011776"/>
    <s v="STARBIRD CHICKEN - WALNUT CREEK"/>
    <n v="2"/>
    <x v="17"/>
  </r>
  <r>
    <d v="2024-12-04T00:00:00"/>
    <s v="9989011776"/>
    <s v="STARBIRD CHICKEN - WALNUT CREEK"/>
    <n v="1"/>
    <x v="4"/>
  </r>
  <r>
    <d v="2024-12-04T00:00:00"/>
    <s v="9989011776"/>
    <s v="STARBIRD CHICKEN - WALNUT CREEK"/>
    <n v="1"/>
    <x v="3"/>
  </r>
  <r>
    <d v="2024-12-04T00:00:00"/>
    <s v="9989011777"/>
    <s v="THE MELT (STANFORD)"/>
    <n v="3"/>
    <x v="8"/>
  </r>
  <r>
    <d v="2024-12-04T00:00:00"/>
    <s v="9989011777"/>
    <s v="THE MELT (STANFORD)"/>
    <n v="2"/>
    <x v="15"/>
  </r>
  <r>
    <d v="2024-12-04T00:00:00"/>
    <s v="9989011777"/>
    <s v="THE MELT (STANFORD)"/>
    <n v="2"/>
    <x v="12"/>
  </r>
  <r>
    <d v="2024-12-04T00:00:00"/>
    <s v="9989011777"/>
    <s v="THE MELT (STANFORD)"/>
    <n v="2"/>
    <x v="5"/>
  </r>
  <r>
    <d v="2024-12-04T00:00:00"/>
    <s v="9989011777"/>
    <s v="THE MELT (STANFORD)"/>
    <n v="1"/>
    <x v="9"/>
  </r>
  <r>
    <d v="2024-12-04T00:00:00"/>
    <s v="9989011777"/>
    <s v="THE MELT (STANFORD)"/>
    <n v="1"/>
    <x v="10"/>
  </r>
  <r>
    <d v="2024-12-04T00:00:00"/>
    <s v="9989011778"/>
    <s v="STARBIRD CHICKEN - PLEASANTON"/>
    <n v="2"/>
    <x v="8"/>
  </r>
  <r>
    <d v="2024-12-04T00:00:00"/>
    <s v="9989011778"/>
    <s v="STARBIRD CHICKEN - PLEASANTON"/>
    <n v="2"/>
    <x v="5"/>
  </r>
  <r>
    <d v="2024-12-04T00:00:00"/>
    <s v="9989011778"/>
    <s v="STARBIRD CHICKEN - PLEASANTON"/>
    <n v="1"/>
    <x v="15"/>
  </r>
  <r>
    <d v="2024-12-04T00:00:00"/>
    <s v="9989011778"/>
    <s v="STARBIRD CHICKEN - PLEASANTON"/>
    <n v="1"/>
    <x v="17"/>
  </r>
  <r>
    <d v="2024-12-04T00:00:00"/>
    <s v="9989011778"/>
    <s v="STARBIRD CHICKEN - PLEASANTON"/>
    <n v="1"/>
    <x v="23"/>
  </r>
  <r>
    <d v="2024-12-04T00:00:00"/>
    <s v="9989011778"/>
    <s v="STARBIRD CHICKEN - PLEASANTON"/>
    <n v="1"/>
    <x v="10"/>
  </r>
  <r>
    <d v="2024-12-04T00:00:00"/>
    <s v="9989011778"/>
    <s v="STARBIRD CHICKEN - PLEASANTON"/>
    <n v="1"/>
    <x v="1"/>
  </r>
  <r>
    <d v="2024-12-04T00:00:00"/>
    <s v="9989011778"/>
    <s v="STARBIRD CHICKEN - PLEASANTON"/>
    <n v="1"/>
    <x v="11"/>
  </r>
  <r>
    <d v="2024-12-04T00:00:00"/>
    <s v="9989011778"/>
    <s v="STARBIRD CHICKEN - PLEASANTON"/>
    <n v="1"/>
    <x v="4"/>
  </r>
  <r>
    <d v="2024-12-04T00:00:00"/>
    <s v="9989011779"/>
    <s v="CALI KID BURGERS AND SHAKES"/>
    <n v="2"/>
    <x v="8"/>
  </r>
  <r>
    <d v="2024-12-04T00:00:00"/>
    <s v="9989011779"/>
    <s v="CALI KID BURGERS AND SHAKES"/>
    <n v="1"/>
    <x v="12"/>
  </r>
  <r>
    <d v="2024-12-04T00:00:00"/>
    <s v="9989011779"/>
    <s v="CALI KID BURGERS AND SHAKES"/>
    <n v="1"/>
    <x v="17"/>
  </r>
  <r>
    <d v="2024-12-04T00:00:00"/>
    <s v="9989011779"/>
    <s v="CALI KID BURGERS AND SHAKES"/>
    <n v="1"/>
    <x v="9"/>
  </r>
  <r>
    <d v="2024-12-04T00:00:00"/>
    <s v="9989011783"/>
    <s v="AVIATION ROOFTOP BAR AND KITCHEN"/>
    <n v="1"/>
    <x v="8"/>
  </r>
  <r>
    <d v="2024-12-04T00:00:00"/>
    <s v="9989011784"/>
    <s v="LIVERMORE CASINO"/>
    <n v="1"/>
    <x v="26"/>
  </r>
  <r>
    <d v="2024-12-04T00:00:00"/>
    <s v="9989011784"/>
    <s v="LIVERMORE CASINO"/>
    <n v="1"/>
    <x v="13"/>
  </r>
  <r>
    <d v="2024-12-04T00:00:00"/>
    <s v="9989011784"/>
    <s v="LIVERMORE CASINO"/>
    <n v="1"/>
    <x v="12"/>
  </r>
  <r>
    <d v="2024-12-04T00:00:00"/>
    <s v="9989011785"/>
    <s v="ALAMEDA THEATRE"/>
    <n v="5"/>
    <x v="1"/>
  </r>
  <r>
    <d v="2024-12-04T00:00:00"/>
    <s v="9989011786"/>
    <s v="MONTE CARLO"/>
    <n v="4"/>
    <x v="37"/>
  </r>
  <r>
    <d v="2024-12-04T00:00:00"/>
    <s v="9989011786"/>
    <s v="MONTE CARLO"/>
    <n v="3"/>
    <x v="22"/>
  </r>
  <r>
    <d v="2024-12-04T00:00:00"/>
    <s v="9989011787"/>
    <s v="ALAMEDA CINEMA GRILL"/>
    <n v="2"/>
    <x v="8"/>
  </r>
  <r>
    <d v="2024-12-04T00:00:00"/>
    <s v="9989011787"/>
    <s v="ALAMEDA CINEMA GRILL"/>
    <n v="1"/>
    <x v="12"/>
  </r>
  <r>
    <d v="2024-12-04T00:00:00"/>
    <s v="9989011787"/>
    <s v="ALAMEDA CINEMA GRILL"/>
    <n v="1"/>
    <x v="15"/>
  </r>
  <r>
    <d v="2024-12-04T00:00:00"/>
    <s v="9989011787"/>
    <s v="ALAMEDA CINEMA GRILL"/>
    <n v="1"/>
    <x v="5"/>
  </r>
  <r>
    <d v="2024-12-04T00:00:00"/>
    <s v="9989011787"/>
    <s v="ALAMEDA CINEMA GRILL"/>
    <n v="1"/>
    <x v="24"/>
  </r>
  <r>
    <d v="2024-12-04T00:00:00"/>
    <s v="9989011787"/>
    <s v="ALAMEDA CINEMA GRILL"/>
    <n v="1"/>
    <x v="10"/>
  </r>
  <r>
    <d v="2024-12-04T00:00:00"/>
    <s v="9989011790"/>
    <s v="LUCKY 13"/>
    <n v="1"/>
    <x v="14"/>
  </r>
  <r>
    <d v="2024-12-04T00:00:00"/>
    <s v="9989011790"/>
    <s v="LUCKY 13"/>
    <n v="1"/>
    <x v="8"/>
  </r>
  <r>
    <d v="2024-12-04T00:00:00"/>
    <s v="9989011790"/>
    <s v="LUCKY 13"/>
    <n v="1"/>
    <x v="18"/>
  </r>
  <r>
    <d v="2024-12-04T00:00:00"/>
    <s v="9989011791"/>
    <s v="BRIX BEVERAGE - SAMPLING"/>
    <n v="1"/>
    <x v="11"/>
  </r>
  <r>
    <d v="2024-12-04T00:00:00"/>
    <s v="9989011791"/>
    <s v="BRIX BEVERAGE - SAMPLING"/>
    <n v="1"/>
    <x v="1"/>
  </r>
  <r>
    <d v="2024-12-04T00:00:00"/>
    <s v="9989011792"/>
    <s v="CROWN AND CROW"/>
    <n v="2"/>
    <x v="12"/>
  </r>
  <r>
    <d v="2024-12-04T00:00:00"/>
    <s v="9989011792"/>
    <s v="CROWN AND CROW"/>
    <n v="2"/>
    <x v="8"/>
  </r>
  <r>
    <d v="2024-12-04T00:00:00"/>
    <s v="9989011792"/>
    <s v="CROWN AND CROW"/>
    <n v="1"/>
    <x v="15"/>
  </r>
  <r>
    <d v="2024-12-04T00:00:00"/>
    <s v="9989011792"/>
    <s v="CROWN AND CROW"/>
    <n v="2"/>
    <x v="10"/>
  </r>
  <r>
    <d v="2024-12-04T00:00:00"/>
    <s v="9989011792"/>
    <s v="CROWN AND CROW"/>
    <n v="1"/>
    <x v="14"/>
  </r>
  <r>
    <d v="2024-12-04T00:00:00"/>
    <s v="9989011793"/>
    <s v="DELTA CINEMAS"/>
    <n v="1"/>
    <x v="8"/>
  </r>
  <r>
    <d v="2024-12-04T00:00:00"/>
    <s v="9989011793"/>
    <s v="DELTA CINEMAS"/>
    <n v="1"/>
    <x v="15"/>
  </r>
  <r>
    <d v="2024-12-04T00:00:00"/>
    <s v="9989011793"/>
    <s v="DELTA CINEMAS"/>
    <n v="1"/>
    <x v="12"/>
  </r>
  <r>
    <d v="2024-12-04T00:00:00"/>
    <s v="9989011793"/>
    <s v="DELTA CINEMAS"/>
    <n v="1"/>
    <x v="5"/>
  </r>
  <r>
    <d v="2024-12-04T00:00:00"/>
    <s v="9989011793"/>
    <s v="DELTA CINEMAS"/>
    <n v="1"/>
    <x v="6"/>
  </r>
  <r>
    <d v="2024-12-04T00:00:00"/>
    <s v="9989011793"/>
    <s v="DELTA CINEMAS"/>
    <n v="1"/>
    <x v="7"/>
  </r>
  <r>
    <d v="2024-12-04T00:00:00"/>
    <s v="9989011793"/>
    <s v="DELTA CINEMAS"/>
    <n v="1"/>
    <x v="16"/>
  </r>
  <r>
    <d v="2024-12-04T00:00:00"/>
    <s v="9989011782"/>
    <s v="MONICAS"/>
    <n v="3"/>
    <x v="7"/>
  </r>
  <r>
    <d v="2024-12-04T00:00:00"/>
    <s v="9989011782"/>
    <s v="MONICAS"/>
    <n v="2"/>
    <x v="12"/>
  </r>
  <r>
    <d v="2024-12-04T00:00:00"/>
    <s v="9989011782"/>
    <s v="MONICAS"/>
    <n v="2"/>
    <x v="8"/>
  </r>
  <r>
    <d v="2024-12-04T00:00:00"/>
    <s v="9989011782"/>
    <s v="MONICAS"/>
    <n v="2"/>
    <x v="15"/>
  </r>
  <r>
    <d v="2024-12-04T00:00:00"/>
    <s v="9989011782"/>
    <s v="MONICAS"/>
    <n v="2"/>
    <x v="5"/>
  </r>
  <r>
    <d v="2024-12-04T00:00:00"/>
    <s v="9989011782"/>
    <s v="MONICAS"/>
    <n v="1"/>
    <x v="6"/>
  </r>
  <r>
    <d v="2024-12-04T00:00:00"/>
    <s v="9989011781"/>
    <s v="STARBIRD CHICKEN - SUNNYVALE"/>
    <n v="2"/>
    <x v="8"/>
  </r>
  <r>
    <d v="2024-12-04T00:00:00"/>
    <s v="9989011781"/>
    <s v="STARBIRD CHICKEN - SUNNYVALE"/>
    <n v="2"/>
    <x v="15"/>
  </r>
  <r>
    <d v="2024-12-04T00:00:00"/>
    <s v="9989011781"/>
    <s v="STARBIRD CHICKEN - SUNNYVALE"/>
    <n v="1"/>
    <x v="12"/>
  </r>
  <r>
    <d v="2024-12-04T00:00:00"/>
    <s v="9989011781"/>
    <s v="STARBIRD CHICKEN - SUNNYVALE"/>
    <n v="2"/>
    <x v="10"/>
  </r>
  <r>
    <d v="2024-12-04T00:00:00"/>
    <s v="9989011781"/>
    <s v="STARBIRD CHICKEN - SUNNYVALE"/>
    <n v="2"/>
    <x v="5"/>
  </r>
  <r>
    <d v="2024-12-04T00:00:00"/>
    <s v="9989011781"/>
    <s v="STARBIRD CHICKEN - SUNNYVALE"/>
    <n v="2"/>
    <x v="17"/>
  </r>
  <r>
    <d v="2024-12-04T00:00:00"/>
    <s v="9989011781"/>
    <s v="STARBIRD CHICKEN - SUNNYVALE"/>
    <n v="1"/>
    <x v="23"/>
  </r>
  <r>
    <d v="2024-12-04T00:00:00"/>
    <s v="9989011781"/>
    <s v="STARBIRD CHICKEN - SUNNYVALE"/>
    <n v="2"/>
    <x v="11"/>
  </r>
  <r>
    <d v="2024-12-04T00:00:00"/>
    <s v="9989011781"/>
    <s v="STARBIRD CHICKEN - SUNNYVALE"/>
    <n v="2"/>
    <x v="1"/>
  </r>
  <r>
    <d v="2024-12-04T00:00:00"/>
    <s v="9989011781"/>
    <s v="STARBIRD CHICKEN - SUNNYVALE"/>
    <n v="2"/>
    <x v="3"/>
  </r>
  <r>
    <d v="2024-12-04T00:00:00"/>
    <s v="9989011781"/>
    <s v="STARBIRD CHICKEN - SUNNYVALE"/>
    <n v="4"/>
    <x v="4"/>
  </r>
  <r>
    <d v="2024-12-04T00:00:00"/>
    <s v="9989011780"/>
    <s v="A SLICE OF NEW YORK 2"/>
    <n v="1"/>
    <x v="8"/>
  </r>
  <r>
    <d v="2024-12-04T00:00:00"/>
    <s v="9989011780"/>
    <s v="A SLICE OF NEW YORK 2"/>
    <n v="1"/>
    <x v="6"/>
  </r>
  <r>
    <d v="2024-12-04T00:00:00"/>
    <s v="9989011780"/>
    <s v="A SLICE OF NEW YORK 2"/>
    <n v="2"/>
    <x v="17"/>
  </r>
  <r>
    <d v="2024-12-05T00:00:00"/>
    <s v="9989011796"/>
    <s v="HELLO STRANGER"/>
    <n v="3"/>
    <x v="28"/>
  </r>
  <r>
    <d v="2024-12-05T00:00:00"/>
    <s v="9989011796"/>
    <s v="HELLO STRANGER"/>
    <n v="1"/>
    <x v="14"/>
  </r>
  <r>
    <d v="2024-12-05T00:00:00"/>
    <s v="9989011796"/>
    <s v="HELLO STRANGER"/>
    <n v="1"/>
    <x v="10"/>
  </r>
  <r>
    <d v="2024-12-05T00:00:00"/>
    <s v="9989011797"/>
    <s v="CRYBABY"/>
    <n v="1"/>
    <x v="29"/>
  </r>
  <r>
    <d v="2024-12-05T00:00:00"/>
    <s v="9989011797"/>
    <s v="CRYBABY"/>
    <n v="1"/>
    <x v="14"/>
  </r>
  <r>
    <d v="2024-12-05T00:00:00"/>
    <s v="9989011797"/>
    <s v="CRYBABY"/>
    <n v="1"/>
    <x v="21"/>
  </r>
  <r>
    <d v="2024-12-05T00:00:00"/>
    <s v="9989011797"/>
    <s v="CRYBABY"/>
    <n v="1"/>
    <x v="10"/>
  </r>
  <r>
    <d v="2024-12-05T00:00:00"/>
    <s v="9989011797"/>
    <s v="CRYBABY"/>
    <n v="2"/>
    <x v="28"/>
  </r>
  <r>
    <d v="2024-12-05T00:00:00"/>
    <s v="9989011798"/>
    <s v="STARBIRD CHICKEN - SF CLOUD"/>
    <n v="3"/>
    <x v="3"/>
  </r>
  <r>
    <d v="2024-12-05T00:00:00"/>
    <s v="9989011798"/>
    <s v="STARBIRD CHICKEN - SF CLOUD"/>
    <n v="2"/>
    <x v="4"/>
  </r>
  <r>
    <d v="2024-12-05T00:00:00"/>
    <s v="9989011798"/>
    <s v="STARBIRD CHICKEN - SF CLOUD"/>
    <n v="2"/>
    <x v="1"/>
  </r>
  <r>
    <d v="2024-12-05T00:00:00"/>
    <s v="9989011798"/>
    <s v="STARBIRD CHICKEN - SF CLOUD"/>
    <n v="1"/>
    <x v="11"/>
  </r>
  <r>
    <d v="2024-12-05T00:00:00"/>
    <s v="9989011799"/>
    <s v="CHABOT THEATER"/>
    <n v="3"/>
    <x v="8"/>
  </r>
  <r>
    <d v="2024-12-05T00:00:00"/>
    <s v="9989011799"/>
    <s v="CHABOT THEATER"/>
    <n v="3"/>
    <x v="5"/>
  </r>
  <r>
    <d v="2024-12-05T00:00:00"/>
    <s v="9989011799"/>
    <s v="CHABOT THEATER"/>
    <n v="3"/>
    <x v="12"/>
  </r>
  <r>
    <d v="2024-12-05T00:00:00"/>
    <s v="9989011799"/>
    <s v="CHABOT THEATER"/>
    <n v="1"/>
    <x v="9"/>
  </r>
  <r>
    <d v="2024-12-05T00:00:00"/>
    <s v="9989011799"/>
    <s v="CHABOT THEATER"/>
    <n v="1"/>
    <x v="7"/>
  </r>
  <r>
    <d v="2024-12-05T00:00:00"/>
    <s v="9989011799"/>
    <s v="CHABOT THEATER"/>
    <n v="1"/>
    <x v="15"/>
  </r>
  <r>
    <d v="2024-12-05T00:00:00"/>
    <s v="9989011799"/>
    <s v="CHABOT THEATER"/>
    <n v="1"/>
    <x v="10"/>
  </r>
  <r>
    <d v="2024-12-05T00:00:00"/>
    <s v="9989011800"/>
    <s v="UNION STREET ALE HOUSE"/>
    <n v="1"/>
    <x v="14"/>
  </r>
  <r>
    <d v="2024-12-05T00:00:00"/>
    <s v="9989011801"/>
    <s v="SWISS PARK BAR &amp; GRILLE NEWARK"/>
    <n v="2"/>
    <x v="15"/>
  </r>
  <r>
    <d v="2024-12-05T00:00:00"/>
    <s v="9989011801"/>
    <s v="SWISS PARK BAR &amp; GRILLE NEWARK"/>
    <n v="1"/>
    <x v="7"/>
  </r>
  <r>
    <d v="2024-12-05T00:00:00"/>
    <s v="9989011801"/>
    <s v="SWISS PARK BAR &amp; GRILLE NEWARK"/>
    <n v="1"/>
    <x v="18"/>
  </r>
  <r>
    <d v="2024-12-05T00:00:00"/>
    <s v="9989011802"/>
    <s v="THE MELT- PARADISE VALLEY AZ"/>
    <n v="2"/>
    <x v="8"/>
  </r>
  <r>
    <d v="2024-12-05T00:00:00"/>
    <s v="9989011802"/>
    <s v="THE MELT- PARADISE VALLEY AZ"/>
    <n v="2"/>
    <x v="12"/>
  </r>
  <r>
    <d v="2024-12-05T00:00:00"/>
    <s v="9989011802"/>
    <s v="THE MELT- PARADISE VALLEY AZ"/>
    <n v="2"/>
    <x v="5"/>
  </r>
  <r>
    <d v="2024-12-05T00:00:00"/>
    <s v="9989011802"/>
    <s v="THE MELT- PARADISE VALLEY AZ"/>
    <n v="2"/>
    <x v="9"/>
  </r>
  <r>
    <d v="2024-12-05T00:00:00"/>
    <s v="9989011802"/>
    <s v="THE MELT- PARADISE VALLEY AZ"/>
    <n v="2"/>
    <x v="16"/>
  </r>
  <r>
    <d v="2024-12-05T00:00:00"/>
    <s v="9989011802"/>
    <s v="THE MELT- PARADISE VALLEY AZ"/>
    <n v="2"/>
    <x v="10"/>
  </r>
  <r>
    <d v="2024-12-05T00:00:00"/>
    <s v="9989011803"/>
    <s v="BELLA TRATTORIA"/>
    <n v="1"/>
    <x v="12"/>
  </r>
  <r>
    <d v="2024-12-05T00:00:00"/>
    <s v="9989011803"/>
    <s v="BELLA TRATTORIA"/>
    <n v="1"/>
    <x v="18"/>
  </r>
  <r>
    <d v="2024-12-05T00:00:00"/>
    <s v="9989011803"/>
    <s v="BELLA TRATTORIA"/>
    <n v="1"/>
    <x v="15"/>
  </r>
  <r>
    <d v="2024-12-05T00:00:00"/>
    <s v="9989011803"/>
    <s v="BELLA TRATTORIA"/>
    <n v="1"/>
    <x v="8"/>
  </r>
  <r>
    <d v="2024-12-05T00:00:00"/>
    <s v="9989011803"/>
    <s v="BELLA TRATTORIA"/>
    <n v="1"/>
    <x v="14"/>
  </r>
  <r>
    <d v="2024-12-05T00:00:00"/>
    <s v="9989011803"/>
    <s v="BELLA TRATTORIA"/>
    <n v="1"/>
    <x v="10"/>
  </r>
  <r>
    <d v="2024-12-05T00:00:00"/>
    <s v="9989011804"/>
    <s v="MY RADISH/BLOOM ENERGY"/>
    <n v="1"/>
    <x v="8"/>
  </r>
  <r>
    <d v="2024-12-05T00:00:00"/>
    <s v="9989011804"/>
    <s v="MY RADISH/BLOOM ENERGY"/>
    <n v="1"/>
    <x v="15"/>
  </r>
  <r>
    <d v="2024-12-05T00:00:00"/>
    <s v="9989011804"/>
    <s v="MY RADISH/BLOOM ENERGY"/>
    <n v="1"/>
    <x v="12"/>
  </r>
  <r>
    <d v="2024-12-05T00:00:00"/>
    <s v="9989011805"/>
    <s v="BEN N' NICKS BAR AND GRILL"/>
    <n v="1"/>
    <x v="26"/>
  </r>
  <r>
    <d v="2024-12-05T00:00:00"/>
    <s v="9989011805"/>
    <s v="BEN N' NICKS BAR AND GRILL"/>
    <n v="1"/>
    <x v="9"/>
  </r>
  <r>
    <d v="2024-12-05T00:00:00"/>
    <s v="9989011805"/>
    <s v="BEN N' NICKS BAR AND GRILL"/>
    <n v="1"/>
    <x v="29"/>
  </r>
  <r>
    <d v="2024-12-05T00:00:00"/>
    <s v="9989011806"/>
    <s v="RENEGADES"/>
    <n v="1"/>
    <x v="26"/>
  </r>
  <r>
    <d v="2024-12-05T00:00:00"/>
    <s v="9989011806"/>
    <s v="RENEGADES"/>
    <n v="1"/>
    <x v="13"/>
  </r>
  <r>
    <d v="2024-12-05T00:00:00"/>
    <s v="9989011806"/>
    <s v="RENEGADES"/>
    <n v="1"/>
    <x v="18"/>
  </r>
  <r>
    <d v="2024-12-05T00:00:00"/>
    <s v="9989011807"/>
    <s v="THE KYLAN BAR - FOUNTAIN HEAD BAR"/>
    <n v="1"/>
    <x v="15"/>
  </r>
  <r>
    <d v="2024-12-05T00:00:00"/>
    <s v="9989011808"/>
    <s v="CLUB CARIBE"/>
    <n v="2"/>
    <x v="28"/>
  </r>
  <r>
    <d v="2024-12-05T00:00:00"/>
    <s v="9989011808"/>
    <s v="CLUB CARIBE"/>
    <n v="2"/>
    <x v="14"/>
  </r>
  <r>
    <d v="2024-12-05T00:00:00"/>
    <s v="9989011808"/>
    <s v="CLUB CARIBE"/>
    <n v="2"/>
    <x v="29"/>
  </r>
  <r>
    <d v="2024-12-05T00:00:00"/>
    <s v="9989011808"/>
    <s v="CLUB CARIBE"/>
    <n v="2"/>
    <x v="21"/>
  </r>
  <r>
    <d v="2024-12-05T00:00:00"/>
    <s v="9989011808"/>
    <s v="CLUB CARIBE"/>
    <n v="1"/>
    <x v="8"/>
  </r>
  <r>
    <d v="2024-12-05T00:00:00"/>
    <s v="9989011809"/>
    <s v="STARBIRD CHICKEN - SAN JOSE"/>
    <n v="1"/>
    <x v="15"/>
  </r>
  <r>
    <d v="2024-12-05T00:00:00"/>
    <s v="9989011809"/>
    <s v="STARBIRD CHICKEN - SAN JOSE"/>
    <n v="1"/>
    <x v="8"/>
  </r>
  <r>
    <d v="2024-12-05T00:00:00"/>
    <s v="9989011809"/>
    <s v="STARBIRD CHICKEN - SAN JOSE"/>
    <n v="1"/>
    <x v="12"/>
  </r>
  <r>
    <d v="2024-12-05T00:00:00"/>
    <s v="9989011809"/>
    <s v="STARBIRD CHICKEN - SAN JOSE"/>
    <n v="1"/>
    <x v="5"/>
  </r>
  <r>
    <d v="2024-12-05T00:00:00"/>
    <s v="9989011809"/>
    <s v="STARBIRD CHICKEN - SAN JOSE"/>
    <n v="1"/>
    <x v="10"/>
  </r>
  <r>
    <d v="2024-12-05T00:00:00"/>
    <s v="9989011809"/>
    <s v="STARBIRD CHICKEN - SAN JOSE"/>
    <n v="1"/>
    <x v="3"/>
  </r>
  <r>
    <d v="2024-12-05T00:00:00"/>
    <s v="9989011810"/>
    <s v="GREAT AMERICAN MUSIC HALL"/>
    <n v="2"/>
    <x v="8"/>
  </r>
  <r>
    <d v="2024-12-05T00:00:00"/>
    <s v="9989011810"/>
    <s v="GREAT AMERICAN MUSIC HALL"/>
    <n v="1"/>
    <x v="15"/>
  </r>
  <r>
    <d v="2024-12-05T00:00:00"/>
    <s v="9989011810"/>
    <s v="GREAT AMERICAN MUSIC HALL"/>
    <n v="1"/>
    <x v="12"/>
  </r>
  <r>
    <d v="2024-12-05T00:00:00"/>
    <s v="9989011810"/>
    <s v="GREAT AMERICAN MUSIC HALL"/>
    <n v="1"/>
    <x v="14"/>
  </r>
  <r>
    <d v="2024-12-05T00:00:00"/>
    <s v="9989011810"/>
    <s v="GREAT AMERICAN MUSIC HALL"/>
    <n v="1"/>
    <x v="19"/>
  </r>
  <r>
    <d v="2024-12-05T00:00:00"/>
    <s v="9989011810"/>
    <s v="GREAT AMERICAN MUSIC HALL"/>
    <n v="1"/>
    <x v="10"/>
  </r>
  <r>
    <d v="2024-12-05T00:00:00"/>
    <s v="9989011810"/>
    <s v="GREAT AMERICAN MUSIC HALL"/>
    <n v="1"/>
    <x v="18"/>
  </r>
  <r>
    <d v="2024-12-05T00:00:00"/>
    <s v="9989011811"/>
    <s v="EL TENAMPA"/>
    <n v="3"/>
    <x v="28"/>
  </r>
  <r>
    <d v="2024-12-05T00:00:00"/>
    <s v="9989011811"/>
    <s v="EL TENAMPA"/>
    <n v="1"/>
    <x v="14"/>
  </r>
  <r>
    <d v="2024-12-05T00:00:00"/>
    <s v="9989011812"/>
    <s v="MONROE"/>
    <n v="2"/>
    <x v="22"/>
  </r>
  <r>
    <d v="2024-12-05T00:00:00"/>
    <s v="9989011812"/>
    <s v="MONROE"/>
    <n v="2"/>
    <x v="28"/>
  </r>
  <r>
    <d v="2024-12-05T00:00:00"/>
    <s v="9989011812"/>
    <s v="MONROE"/>
    <n v="3"/>
    <x v="14"/>
  </r>
  <r>
    <d v="2024-12-05T00:00:00"/>
    <s v="9989011812"/>
    <s v="MONROE"/>
    <n v="2"/>
    <x v="8"/>
  </r>
  <r>
    <d v="2024-12-05T00:00:00"/>
    <s v="9989011813"/>
    <s v="LAKESIDE LOUNGE"/>
    <n v="2"/>
    <x v="14"/>
  </r>
  <r>
    <d v="2024-12-05T00:00:00"/>
    <s v="9989011813"/>
    <s v="LAKESIDE LOUNGE"/>
    <n v="2"/>
    <x v="28"/>
  </r>
  <r>
    <d v="2024-12-05T00:00:00"/>
    <s v="9989011813"/>
    <s v="LAKESIDE LOUNGE"/>
    <n v="1"/>
    <x v="22"/>
  </r>
  <r>
    <d v="2024-12-05T00:00:00"/>
    <s v="9989011813"/>
    <s v="LAKESIDE LOUNGE"/>
    <n v="1"/>
    <x v="19"/>
  </r>
  <r>
    <d v="2024-12-05T00:00:00"/>
    <s v="9989011813"/>
    <s v="LAKESIDE LOUNGE"/>
    <n v="1"/>
    <x v="8"/>
  </r>
  <r>
    <d v="2024-12-05T00:00:00"/>
    <s v="9989011815"/>
    <s v="THE DIRTY BIRD LOUNGE LLC"/>
    <n v="2"/>
    <x v="10"/>
  </r>
  <r>
    <d v="2024-12-05T00:00:00"/>
    <s v="9989011815"/>
    <s v="THE DIRTY BIRD LOUNGE LLC"/>
    <n v="2"/>
    <x v="14"/>
  </r>
  <r>
    <d v="2024-12-05T00:00:00"/>
    <s v="9989011817"/>
    <s v="SEAWOLF"/>
    <n v="1"/>
    <x v="8"/>
  </r>
  <r>
    <d v="2024-12-05T00:00:00"/>
    <s v="9989011817"/>
    <s v="SEAWOLF"/>
    <n v="1"/>
    <x v="15"/>
  </r>
  <r>
    <d v="2024-12-05T00:00:00"/>
    <s v="9989011817"/>
    <s v="SEAWOLF"/>
    <n v="1"/>
    <x v="12"/>
  </r>
  <r>
    <d v="2024-12-05T00:00:00"/>
    <s v="9989011817"/>
    <s v="SEAWOLF"/>
    <n v="1"/>
    <x v="10"/>
  </r>
  <r>
    <d v="2024-12-05T00:00:00"/>
    <s v="9989011818"/>
    <s v="FIRESIDE LOUNGE"/>
    <n v="1"/>
    <x v="13"/>
  </r>
  <r>
    <d v="2024-12-05T00:00:00"/>
    <s v="9989011818"/>
    <s v="FIRESIDE LOUNGE"/>
    <n v="1"/>
    <x v="28"/>
  </r>
  <r>
    <d v="2024-12-05T00:00:00"/>
    <s v="9989011818"/>
    <s v="FIRESIDE LOUNGE"/>
    <n v="1"/>
    <x v="14"/>
  </r>
  <r>
    <d v="2024-12-05T00:00:00"/>
    <s v="9989011818"/>
    <s v="FIRESIDE LOUNGE"/>
    <n v="1"/>
    <x v="18"/>
  </r>
  <r>
    <d v="2024-12-05T00:00:00"/>
    <s v="9989011818"/>
    <s v="FIRESIDE LOUNGE"/>
    <n v="1"/>
    <x v="12"/>
  </r>
  <r>
    <d v="2024-12-05T00:00:00"/>
    <s v="9989011818"/>
    <s v="FIRESIDE LOUNGE"/>
    <n v="1"/>
    <x v="15"/>
  </r>
  <r>
    <d v="2024-12-05T00:00:00"/>
    <s v="9989011819"/>
    <s v="THE MELT (LA JOLLA)"/>
    <n v="2"/>
    <x v="8"/>
  </r>
  <r>
    <d v="2024-12-05T00:00:00"/>
    <s v="9989011819"/>
    <s v="THE MELT (LA JOLLA)"/>
    <n v="2"/>
    <x v="5"/>
  </r>
  <r>
    <d v="2024-12-05T00:00:00"/>
    <s v="9989011819"/>
    <s v="THE MELT (LA JOLLA)"/>
    <n v="2"/>
    <x v="12"/>
  </r>
  <r>
    <d v="2024-12-05T00:00:00"/>
    <s v="9989011819"/>
    <s v="THE MELT (LA JOLLA)"/>
    <n v="1"/>
    <x v="16"/>
  </r>
  <r>
    <d v="2024-12-05T00:00:00"/>
    <s v="9989011819"/>
    <s v="THE MELT (LA JOLLA)"/>
    <n v="1"/>
    <x v="15"/>
  </r>
  <r>
    <d v="2024-12-05T00:00:00"/>
    <s v="9989011819"/>
    <s v="THE MELT (LA JOLLA)"/>
    <n v="1"/>
    <x v="10"/>
  </r>
  <r>
    <d v="2024-12-05T00:00:00"/>
    <s v="9989011819"/>
    <s v="THE MELT (LA JOLLA)"/>
    <n v="1"/>
    <x v="9"/>
  </r>
  <r>
    <d v="2024-12-05T00:00:00"/>
    <s v="9989011820"/>
    <s v="THE MELT (GAS LAMP SAN DIEGO)"/>
    <n v="2"/>
    <x v="8"/>
  </r>
  <r>
    <d v="2024-12-05T00:00:00"/>
    <s v="9989011820"/>
    <s v="THE MELT (GAS LAMP SAN DIEGO)"/>
    <n v="1"/>
    <x v="16"/>
  </r>
  <r>
    <d v="2024-12-05T00:00:00"/>
    <s v="9989011820"/>
    <s v="THE MELT (GAS LAMP SAN DIEGO)"/>
    <n v="1"/>
    <x v="5"/>
  </r>
  <r>
    <d v="2024-12-05T00:00:00"/>
    <s v="9989011820"/>
    <s v="THE MELT (GAS LAMP SAN DIEGO)"/>
    <n v="1"/>
    <x v="12"/>
  </r>
  <r>
    <d v="2024-12-05T00:00:00"/>
    <s v="9989011821"/>
    <s v="THE MELT (DEL MAR)"/>
    <n v="2"/>
    <x v="8"/>
  </r>
  <r>
    <d v="2024-12-05T00:00:00"/>
    <s v="9989011821"/>
    <s v="THE MELT (DEL MAR)"/>
    <n v="2"/>
    <x v="15"/>
  </r>
  <r>
    <d v="2024-12-06T00:00:00"/>
    <s v="9989011822"/>
    <s v="CAFE JOLIE"/>
    <n v="1"/>
    <x v="12"/>
  </r>
  <r>
    <d v="2024-12-06T00:00:00"/>
    <s v="9989011822"/>
    <s v="CAFE JOLIE"/>
    <n v="1"/>
    <x v="8"/>
  </r>
  <r>
    <d v="2024-12-06T00:00:00"/>
    <s v="9989011822"/>
    <s v="CAFE JOLIE"/>
    <n v="1"/>
    <x v="15"/>
  </r>
  <r>
    <d v="2024-12-06T00:00:00"/>
    <s v="9989011822"/>
    <s v="CAFE JOLIE"/>
    <n v="1"/>
    <x v="24"/>
  </r>
  <r>
    <d v="2024-12-06T00:00:00"/>
    <s v="9989011823"/>
    <s v="THE PHOENIX ALAMEDA"/>
    <n v="1"/>
    <x v="1"/>
  </r>
  <r>
    <d v="2024-12-06T00:00:00"/>
    <s v="9989011823"/>
    <s v="THE PHOENIX ALAMEDA"/>
    <n v="1"/>
    <x v="4"/>
  </r>
  <r>
    <d v="2024-12-06T00:00:00"/>
    <s v="9989011823"/>
    <s v="THE PHOENIX ALAMEDA"/>
    <n v="1"/>
    <x v="0"/>
  </r>
  <r>
    <d v="2024-12-06T00:00:00"/>
    <s v="9989011823"/>
    <s v="THE PHOENIX ALAMEDA"/>
    <n v="1"/>
    <x v="3"/>
  </r>
  <r>
    <d v="2024-12-06T00:00:00"/>
    <s v="9989011823"/>
    <s v="THE PHOENIX ALAMEDA"/>
    <n v="1"/>
    <x v="11"/>
  </r>
  <r>
    <d v="2024-12-06T00:00:00"/>
    <s v="9989011824"/>
    <s v="HOG ISLAND OYSTER CO LARKSPUR"/>
    <n v="2"/>
    <x v="8"/>
  </r>
  <r>
    <d v="2024-12-06T00:00:00"/>
    <s v="9989011824"/>
    <s v="HOG ISLAND OYSTER CO LARKSPUR"/>
    <n v="2"/>
    <x v="15"/>
  </r>
  <r>
    <d v="2024-12-06T00:00:00"/>
    <s v="9989011824"/>
    <s v="HOG ISLAND OYSTER CO LARKSPUR"/>
    <n v="1"/>
    <x v="12"/>
  </r>
  <r>
    <d v="2024-12-06T00:00:00"/>
    <s v="9989011825"/>
    <s v="ENCINAL MARKET"/>
    <n v="2"/>
    <x v="0"/>
  </r>
  <r>
    <d v="2024-12-06T00:00:00"/>
    <s v="9989011825"/>
    <s v="ENCINAL MARKET"/>
    <n v="2"/>
    <x v="1"/>
  </r>
  <r>
    <d v="2024-12-06T00:00:00"/>
    <s v="9989011825"/>
    <s v="ENCINAL MARKET"/>
    <n v="2"/>
    <x v="4"/>
  </r>
  <r>
    <d v="2024-12-06T00:00:00"/>
    <s v="9989011825"/>
    <s v="ENCINAL MARKET"/>
    <n v="1"/>
    <x v="20"/>
  </r>
  <r>
    <d v="2024-12-06T00:00:00"/>
    <s v="9989011825"/>
    <s v="ENCINAL MARKET"/>
    <n v="1"/>
    <x v="2"/>
  </r>
  <r>
    <d v="2024-12-06T00:00:00"/>
    <s v="9989011826"/>
    <s v="STARBIRD CHICKEN - CORTE MADERA"/>
    <n v="1"/>
    <x v="8"/>
  </r>
  <r>
    <d v="2024-12-06T00:00:00"/>
    <s v="9989011826"/>
    <s v="STARBIRD CHICKEN - CORTE MADERA"/>
    <n v="1"/>
    <x v="15"/>
  </r>
  <r>
    <d v="2024-12-06T00:00:00"/>
    <s v="9989011826"/>
    <s v="STARBIRD CHICKEN - CORTE MADERA"/>
    <n v="2"/>
    <x v="12"/>
  </r>
  <r>
    <d v="2024-12-06T00:00:00"/>
    <s v="9989011826"/>
    <s v="STARBIRD CHICKEN - CORTE MADERA"/>
    <n v="2"/>
    <x v="10"/>
  </r>
  <r>
    <d v="2024-12-06T00:00:00"/>
    <s v="9989011826"/>
    <s v="STARBIRD CHICKEN - CORTE MADERA"/>
    <n v="2"/>
    <x v="17"/>
  </r>
  <r>
    <d v="2024-12-06T00:00:00"/>
    <s v="9989011826"/>
    <s v="STARBIRD CHICKEN - CORTE MADERA"/>
    <n v="2"/>
    <x v="5"/>
  </r>
  <r>
    <d v="2024-12-06T00:00:00"/>
    <s v="9989011826"/>
    <s v="STARBIRD CHICKEN - CORTE MADERA"/>
    <n v="1"/>
    <x v="23"/>
  </r>
  <r>
    <d v="2024-12-06T00:00:00"/>
    <s v="9989011826"/>
    <s v="STARBIRD CHICKEN - CORTE MADERA"/>
    <n v="1"/>
    <x v="1"/>
  </r>
  <r>
    <d v="2024-12-06T00:00:00"/>
    <s v="9989011826"/>
    <s v="STARBIRD CHICKEN - CORTE MADERA"/>
    <n v="1"/>
    <x v="3"/>
  </r>
  <r>
    <d v="2024-12-06T00:00:00"/>
    <s v="9989011826"/>
    <s v="STARBIRD CHICKEN - CORTE MADERA"/>
    <n v="1"/>
    <x v="4"/>
  </r>
  <r>
    <d v="2024-12-06T00:00:00"/>
    <s v="9989011826"/>
    <s v="STARBIRD CHICKEN - CORTE MADERA"/>
    <n v="1"/>
    <x v="8"/>
  </r>
  <r>
    <d v="2024-12-06T00:00:00"/>
    <s v="9989011827"/>
    <s v="MASSIMOS RESTAURANT INC."/>
    <n v="4"/>
    <x v="10"/>
  </r>
  <r>
    <d v="2024-12-06T00:00:00"/>
    <s v="9989011827"/>
    <s v="MASSIMOS RESTAURANT INC."/>
    <n v="4"/>
    <x v="8"/>
  </r>
  <r>
    <d v="2024-12-06T00:00:00"/>
    <s v="9989011827"/>
    <s v="MASSIMOS RESTAURANT INC."/>
    <n v="3"/>
    <x v="15"/>
  </r>
  <r>
    <d v="2024-12-06T00:00:00"/>
    <s v="9989011827"/>
    <s v="MASSIMOS RESTAURANT INC."/>
    <n v="4"/>
    <x v="12"/>
  </r>
  <r>
    <d v="2024-12-06T00:00:00"/>
    <s v="9989011827"/>
    <s v="MASSIMOS RESTAURANT INC."/>
    <n v="3"/>
    <x v="24"/>
  </r>
  <r>
    <d v="2024-12-06T00:00:00"/>
    <s v="9989011828"/>
    <s v="HIDDEN SPOT"/>
    <n v="1"/>
    <x v="18"/>
  </r>
  <r>
    <d v="2024-12-06T00:00:00"/>
    <s v="9989011829"/>
    <s v="TOP DOG #3 LAK"/>
    <n v="1"/>
    <x v="26"/>
  </r>
  <r>
    <d v="2024-12-06T00:00:00"/>
    <s v="9989011829"/>
    <s v="TOP DOG #3 LAK"/>
    <n v="1"/>
    <x v="13"/>
  </r>
  <r>
    <d v="2024-12-06T00:00:00"/>
    <s v="9989011829"/>
    <s v="TOP DOG #3 LAK"/>
    <n v="2"/>
    <x v="5"/>
  </r>
  <r>
    <d v="2024-12-06T00:00:00"/>
    <s v="9989011830"/>
    <s v="HOLE IN THE WALL"/>
    <n v="1"/>
    <x v="13"/>
  </r>
  <r>
    <d v="2024-12-06T00:00:00"/>
    <s v="9989011830"/>
    <s v="HOLE IN THE WALL"/>
    <n v="1"/>
    <x v="15"/>
  </r>
  <r>
    <d v="2024-12-06T00:00:00"/>
    <s v="9989011830"/>
    <s v="HOLE IN THE WALL"/>
    <n v="1"/>
    <x v="19"/>
  </r>
  <r>
    <d v="2024-12-06T00:00:00"/>
    <s v="9989011830"/>
    <s v="HOLE IN THE WALL"/>
    <n v="1"/>
    <x v="21"/>
  </r>
  <r>
    <d v="2024-12-06T00:00:00"/>
    <s v="9989011831"/>
    <s v="THE STAR ON GRAND"/>
    <n v="1"/>
    <x v="10"/>
  </r>
  <r>
    <d v="2024-12-06T00:00:00"/>
    <s v="9989011832"/>
    <s v="FIRESIDE BAR LLC"/>
    <n v="1"/>
    <x v="13"/>
  </r>
  <r>
    <d v="2024-12-06T00:00:00"/>
    <s v="9989011833"/>
    <s v="SCOLARIS ON PARK ST"/>
    <n v="7"/>
    <x v="1"/>
  </r>
  <r>
    <d v="2024-12-06T00:00:00"/>
    <s v="9989011833"/>
    <s v="SCOLARIS ON PARK ST"/>
    <n v="3"/>
    <x v="11"/>
  </r>
  <r>
    <d v="2024-12-06T00:00:00"/>
    <s v="9989011833"/>
    <s v="SCOLARIS ON PARK ST"/>
    <n v="3"/>
    <x v="4"/>
  </r>
  <r>
    <d v="2024-12-06T00:00:00"/>
    <s v="9989011833"/>
    <s v="SCOLARIS ON PARK ST"/>
    <n v="3"/>
    <x v="3"/>
  </r>
  <r>
    <d v="2024-12-06T00:00:00"/>
    <s v="9989011833"/>
    <s v="SCOLARIS ON PARK ST"/>
    <n v="3"/>
    <x v="2"/>
  </r>
  <r>
    <d v="2024-12-06T00:00:00"/>
    <s v="9989011834"/>
    <s v="BLUE LAGOON"/>
    <n v="1"/>
    <x v="8"/>
  </r>
  <r>
    <d v="2024-12-06T00:00:00"/>
    <s v="9989011834"/>
    <s v="BLUE LAGOON"/>
    <n v="1"/>
    <x v="22"/>
  </r>
  <r>
    <d v="2024-12-06T00:00:00"/>
    <s v="9989011834"/>
    <s v="BLUE LAGOON"/>
    <n v="1"/>
    <x v="12"/>
  </r>
  <r>
    <d v="2024-12-06T00:00:00"/>
    <s v="9989011835"/>
    <s v="HEART AND DAGGER SALOON"/>
    <n v="1"/>
    <x v="12"/>
  </r>
  <r>
    <d v="2024-12-06T00:00:00"/>
    <s v="9989011835"/>
    <s v="HEART AND DAGGER SALOON"/>
    <n v="1"/>
    <x v="19"/>
  </r>
  <r>
    <d v="2024-12-06T00:00:00"/>
    <s v="9989011838"/>
    <s v="SMITTY'S"/>
    <n v="1"/>
    <x v="8"/>
  </r>
  <r>
    <d v="2024-12-06T00:00:00"/>
    <s v="9989011838"/>
    <s v="SMITTY'S"/>
    <n v="1"/>
    <x v="15"/>
  </r>
  <r>
    <d v="2024-12-06T00:00:00"/>
    <s v="9989011838"/>
    <s v="SMITTY'S"/>
    <n v="1"/>
    <x v="14"/>
  </r>
  <r>
    <d v="2024-12-06T00:00:00"/>
    <s v="9989011839"/>
    <s v="PARK STREET TAVERN"/>
    <n v="1"/>
    <x v="18"/>
  </r>
  <r>
    <d v="2024-12-06T00:00:00"/>
    <s v="9989011839"/>
    <s v="PARK STREET TAVERN"/>
    <n v="1"/>
    <x v="12"/>
  </r>
  <r>
    <d v="2024-12-06T00:00:00"/>
    <s v="9989011839"/>
    <s v="PARK STREET TAVERN"/>
    <n v="2"/>
    <x v="8"/>
  </r>
  <r>
    <d v="2024-12-06T00:00:00"/>
    <s v="9989011840"/>
    <s v="ALMANAC"/>
    <n v="4"/>
    <x v="3"/>
  </r>
  <r>
    <d v="2024-12-06T00:00:00"/>
    <s v="9989011840"/>
    <s v="ALMANAC"/>
    <n v="4"/>
    <x v="11"/>
  </r>
  <r>
    <d v="2024-12-06T00:00:00"/>
    <s v="9989011841"/>
    <s v="GRAND LAKE THEATER"/>
    <n v="4"/>
    <x v="8"/>
  </r>
  <r>
    <d v="2024-12-06T00:00:00"/>
    <s v="9989011841"/>
    <s v="GRAND LAKE THEATER"/>
    <n v="6"/>
    <x v="15"/>
  </r>
  <r>
    <d v="2024-12-06T00:00:00"/>
    <s v="9989011841"/>
    <s v="GRAND LAKE THEATER"/>
    <n v="4"/>
    <x v="5"/>
  </r>
  <r>
    <d v="2024-12-06T00:00:00"/>
    <s v="9989011841"/>
    <s v="GRAND LAKE THEATER"/>
    <n v="3"/>
    <x v="10"/>
  </r>
  <r>
    <d v="2024-12-09T00:00:00"/>
    <s v="9989011842"/>
    <s v="U BAR"/>
    <n v="1"/>
    <x v="10"/>
  </r>
  <r>
    <d v="2024-12-09T00:00:00"/>
    <s v="9989011847"/>
    <s v="RED BARN LLC"/>
    <n v="40"/>
    <x v="25"/>
  </r>
  <r>
    <d v="2024-12-09T00:00:00"/>
    <s v="9989011847"/>
    <s v="RED BARN LLC"/>
    <n v="3"/>
    <x v="8"/>
  </r>
  <r>
    <d v="2024-12-09T00:00:00"/>
    <s v="9989011847"/>
    <s v="RED BARN LLC"/>
    <n v="6"/>
    <x v="10"/>
  </r>
  <r>
    <d v="2024-12-10T00:00:00"/>
    <s v="9989011848"/>
    <s v="FIREBRAND-ALAMEDA"/>
    <n v="3"/>
    <x v="4"/>
  </r>
  <r>
    <d v="2024-12-10T00:00:00"/>
    <s v="9989011848"/>
    <s v="FIREBRAND-ALAMEDA"/>
    <n v="3"/>
    <x v="2"/>
  </r>
  <r>
    <d v="2024-12-10T00:00:00"/>
    <s v="9989011848"/>
    <s v="FIREBRAND-ALAMEDA"/>
    <n v="2"/>
    <x v="20"/>
  </r>
  <r>
    <d v="2024-12-10T00:00:00"/>
    <s v="9989011848"/>
    <s v="FIREBRAND-ALAMEDA"/>
    <n v="2"/>
    <x v="0"/>
  </r>
  <r>
    <d v="2024-12-10T00:00:00"/>
    <s v="9989011849"/>
    <s v="PIXAR ANIMATION STUDIOS"/>
    <n v="1"/>
    <x v="39"/>
  </r>
  <r>
    <d v="2024-12-10T00:00:00"/>
    <s v="9989011849"/>
    <s v="PIXAR ANIMATION STUDIOS"/>
    <n v="1"/>
    <x v="9"/>
  </r>
  <r>
    <d v="2024-12-10T00:00:00"/>
    <s v="9989011849"/>
    <s v="PIXAR ANIMATION STUDIOS"/>
    <n v="1"/>
    <x v="12"/>
  </r>
  <r>
    <d v="2024-12-10T00:00:00"/>
    <s v="9989011849"/>
    <s v="PIXAR ANIMATION STUDIOS"/>
    <n v="1"/>
    <x v="7"/>
  </r>
  <r>
    <d v="2024-12-10T00:00:00"/>
    <s v="9989011849"/>
    <s v="PIXAR ANIMATION STUDIOS"/>
    <n v="1"/>
    <x v="10"/>
  </r>
  <r>
    <d v="2024-12-10T00:00:00"/>
    <s v="9989011850"/>
    <s v="CAFE SOLIEL"/>
    <n v="2"/>
    <x v="13"/>
  </r>
  <r>
    <d v="2024-12-10T00:00:00"/>
    <s v="9989011850"/>
    <s v="CAFE SOLIEL"/>
    <n v="1"/>
    <x v="26"/>
  </r>
  <r>
    <d v="2024-12-10T00:00:00"/>
    <s v="9989011850"/>
    <s v="CAFE SOLIEL"/>
    <n v="1"/>
    <x v="7"/>
  </r>
  <r>
    <d v="2024-12-10T00:00:00"/>
    <s v="9989011851"/>
    <s v="THE DEAD FISH"/>
    <n v="1"/>
    <x v="26"/>
  </r>
  <r>
    <d v="2024-12-10T00:00:00"/>
    <s v="9989011851"/>
    <s v="THE DEAD FISH"/>
    <n v="1"/>
    <x v="13"/>
  </r>
  <r>
    <d v="2024-12-10T00:00:00"/>
    <s v="9989011851"/>
    <s v="THE DEAD FISH"/>
    <n v="1"/>
    <x v="27"/>
  </r>
  <r>
    <d v="2024-12-10T00:00:00"/>
    <s v="9989011851"/>
    <s v="THE DEAD FISH"/>
    <n v="1"/>
    <x v="24"/>
  </r>
  <r>
    <d v="2024-12-10T00:00:00"/>
    <s v="9989011851"/>
    <s v="THE DEAD FISH"/>
    <n v="1"/>
    <x v="7"/>
  </r>
  <r>
    <d v="2024-12-10T00:00:00"/>
    <s v="9989011852"/>
    <s v="THE OLD SHIP SALOON"/>
    <n v="1"/>
    <x v="8"/>
  </r>
  <r>
    <d v="2024-12-10T00:00:00"/>
    <s v="9989011852"/>
    <s v="THE OLD SHIP SALOON"/>
    <n v="1"/>
    <x v="15"/>
  </r>
  <r>
    <d v="2024-12-10T00:00:00"/>
    <s v="9989011852"/>
    <s v="THE OLD SHIP SALOON"/>
    <n v="1"/>
    <x v="12"/>
  </r>
  <r>
    <d v="2024-12-10T00:00:00"/>
    <s v="9989011852"/>
    <s v="THE OLD SHIP SALOON"/>
    <n v="1"/>
    <x v="18"/>
  </r>
  <r>
    <d v="2024-12-10T00:00:00"/>
    <s v="9989011852"/>
    <s v="THE OLD SHIP SALOON"/>
    <n v="1"/>
    <x v="7"/>
  </r>
  <r>
    <d v="2024-12-10T00:00:00"/>
    <s v="9989011853"/>
    <s v="SCOMAS RESTAURANT"/>
    <n v="1"/>
    <x v="12"/>
  </r>
  <r>
    <d v="2024-12-10T00:00:00"/>
    <s v="9989011853"/>
    <s v="SCOMAS RESTAURANT"/>
    <n v="1"/>
    <x v="7"/>
  </r>
  <r>
    <d v="2024-12-10T00:00:00"/>
    <s v="9989011854"/>
    <s v="WAREHOUSE CAFE"/>
    <n v="2"/>
    <x v="12"/>
  </r>
  <r>
    <d v="2024-12-10T00:00:00"/>
    <s v="9989011854"/>
    <s v="WAREHOUSE CAFE"/>
    <n v="1"/>
    <x v="15"/>
  </r>
  <r>
    <d v="2024-12-10T00:00:00"/>
    <s v="9989011854"/>
    <s v="WAREHOUSE CAFE"/>
    <n v="1"/>
    <x v="8"/>
  </r>
  <r>
    <d v="2024-12-10T00:00:00"/>
    <s v="9989011854"/>
    <s v="WAREHOUSE CAFE"/>
    <n v="1"/>
    <x v="5"/>
  </r>
  <r>
    <d v="2024-12-10T00:00:00"/>
    <s v="9989011855"/>
    <s v="UNION STREET ALE HOUSE"/>
    <n v="1"/>
    <x v="12"/>
  </r>
  <r>
    <d v="2024-12-10T00:00:00"/>
    <s v="9989011856"/>
    <s v="VOGUE THEATRE"/>
    <n v="3"/>
    <x v="15"/>
  </r>
  <r>
    <d v="2024-12-10T00:00:00"/>
    <s v="9989011856"/>
    <s v="VOGUE THEATRE"/>
    <n v="2"/>
    <x v="8"/>
  </r>
  <r>
    <d v="2024-12-10T00:00:00"/>
    <s v="9989011856"/>
    <s v="VOGUE THEATRE"/>
    <n v="1"/>
    <x v="12"/>
  </r>
  <r>
    <d v="2024-12-10T00:00:00"/>
    <s v="9989011856"/>
    <s v="VOGUE THEATRE"/>
    <n v="1"/>
    <x v="5"/>
  </r>
  <r>
    <d v="2024-12-10T00:00:00"/>
    <s v="9989011856"/>
    <s v="VOGUE THEATRE"/>
    <n v="1"/>
    <x v="7"/>
  </r>
  <r>
    <d v="2024-12-10T00:00:00"/>
    <s v="9989011857"/>
    <s v="CLUB MALLARD"/>
    <n v="1"/>
    <x v="18"/>
  </r>
  <r>
    <d v="2024-12-10T00:00:00"/>
    <s v="9989011857"/>
    <s v="CLUB MALLARD"/>
    <n v="1"/>
    <x v="15"/>
  </r>
  <r>
    <d v="2024-12-10T00:00:00"/>
    <s v="9989011858"/>
    <s v="BALBOA THEATER"/>
    <n v="1"/>
    <x v="26"/>
  </r>
  <r>
    <d v="2024-12-10T00:00:00"/>
    <s v="9989011858"/>
    <s v="BALBOA THEATER"/>
    <n v="1"/>
    <x v="13"/>
  </r>
  <r>
    <d v="2024-12-10T00:00:00"/>
    <s v="9989011858"/>
    <s v="BALBOA THEATER"/>
    <n v="1"/>
    <x v="5"/>
  </r>
  <r>
    <d v="2024-12-10T00:00:00"/>
    <s v="9989011858"/>
    <s v="BALBOA THEATER"/>
    <n v="1"/>
    <x v="10"/>
  </r>
  <r>
    <d v="2024-12-10T00:00:00"/>
    <s v="9989011859"/>
    <s v="BRIX BEVERAGE - SAMPLING"/>
    <n v="1"/>
    <x v="20"/>
  </r>
  <r>
    <d v="2024-12-10T00:00:00"/>
    <s v="9989011860"/>
    <s v="BERKELEY TAP HAUS"/>
    <n v="2"/>
    <x v="21"/>
  </r>
  <r>
    <d v="2024-12-10T00:00:00"/>
    <s v="9989011860"/>
    <s v="BERKELEY TAP HAUS"/>
    <n v="1"/>
    <x v="29"/>
  </r>
  <r>
    <d v="2024-12-10T00:00:00"/>
    <s v="9989011862"/>
    <s v="THE NEW PARKWAY"/>
    <n v="2"/>
    <x v="8"/>
  </r>
  <r>
    <d v="2024-12-10T00:00:00"/>
    <s v="9989011862"/>
    <s v="THE NEW PARKWAY"/>
    <n v="2"/>
    <x v="5"/>
  </r>
  <r>
    <d v="2024-12-10T00:00:00"/>
    <s v="9989011862"/>
    <s v="THE NEW PARKWAY"/>
    <n v="1"/>
    <x v="9"/>
  </r>
  <r>
    <d v="2024-12-10T00:00:00"/>
    <s v="9989011863"/>
    <s v="THE MELT (SACRAMENTO-BLVD)"/>
    <n v="2"/>
    <x v="5"/>
  </r>
  <r>
    <d v="2024-12-10T00:00:00"/>
    <s v="9989011869"/>
    <s v="PIZZERIA PAPPO"/>
    <n v="1"/>
    <x v="20"/>
  </r>
  <r>
    <d v="2024-12-10T00:00:00"/>
    <s v="9989011869"/>
    <s v="PIZZERIA PAPPO"/>
    <n v="1"/>
    <x v="1"/>
  </r>
  <r>
    <d v="2024-12-10T00:00:00"/>
    <s v="9989011869"/>
    <s v="PIZZERIA PAPPO"/>
    <n v="1"/>
    <x v="11"/>
  </r>
  <r>
    <d v="2024-12-10T00:00:00"/>
    <s v="9989011869"/>
    <s v="PIZZERIA PAPPO"/>
    <n v="1"/>
    <x v="4"/>
  </r>
  <r>
    <d v="2024-12-10T00:00:00"/>
    <s v="9989011869"/>
    <s v="PIZZERIA PAPPO"/>
    <n v="1"/>
    <x v="3"/>
  </r>
  <r>
    <d v="2024-12-10T00:00:00"/>
    <s v="9989011869"/>
    <s v="PIZZERIA PAPPO"/>
    <n v="1"/>
    <x v="2"/>
  </r>
  <r>
    <d v="2024-12-10T00:00:00"/>
    <s v="9989011870"/>
    <s v="THE MELT (7TH @ FIG)"/>
    <n v="1"/>
    <x v="16"/>
  </r>
  <r>
    <d v="2024-12-10T00:00:00"/>
    <s v="9989011870"/>
    <s v="THE MELT (7TH @ FIG)"/>
    <n v="1"/>
    <x v="8"/>
  </r>
  <r>
    <d v="2024-12-10T00:00:00"/>
    <s v="9989011870"/>
    <s v="THE MELT (7TH @ FIG)"/>
    <n v="1"/>
    <x v="15"/>
  </r>
  <r>
    <d v="2024-12-10T00:00:00"/>
    <s v="9989011870"/>
    <s v="THE MELT (7TH @ FIG)"/>
    <n v="1"/>
    <x v="12"/>
  </r>
  <r>
    <d v="2024-12-10T00:00:00"/>
    <s v="9989011870"/>
    <s v="THE MELT (7TH @ FIG)"/>
    <n v="1"/>
    <x v="9"/>
  </r>
  <r>
    <d v="2024-12-10T00:00:00"/>
    <s v="9989011870"/>
    <s v="THE MELT (7TH @ FIG)"/>
    <n v="1"/>
    <x v="10"/>
  </r>
  <r>
    <d v="2024-12-10T00:00:00"/>
    <s v="9989011871"/>
    <s v="STARBIRD CHICKEN - MARINA DEL REY"/>
    <n v="1"/>
    <x v="15"/>
  </r>
  <r>
    <d v="2024-12-10T00:00:00"/>
    <s v="9989011871"/>
    <s v="STARBIRD CHICKEN - MARINA DEL REY"/>
    <n v="1"/>
    <x v="23"/>
  </r>
  <r>
    <d v="2024-12-10T00:00:00"/>
    <s v="9989011871"/>
    <s v="STARBIRD CHICKEN - MARINA DEL REY"/>
    <n v="1"/>
    <x v="12"/>
  </r>
  <r>
    <d v="2024-12-10T00:00:00"/>
    <s v="9989011871"/>
    <s v="STARBIRD CHICKEN - MARINA DEL REY"/>
    <n v="1"/>
    <x v="10"/>
  </r>
  <r>
    <d v="2024-12-10T00:00:00"/>
    <s v="9989011871"/>
    <s v="STARBIRD CHICKEN - MARINA DEL REY"/>
    <n v="1"/>
    <x v="1"/>
  </r>
  <r>
    <d v="2024-12-10T00:00:00"/>
    <s v="9989011871"/>
    <s v="STARBIRD CHICKEN - MARINA DEL REY"/>
    <n v="1"/>
    <x v="4"/>
  </r>
  <r>
    <d v="2024-12-10T00:00:00"/>
    <s v="9989011874"/>
    <s v="THE MELT (FOLSOM)"/>
    <n v="2"/>
    <x v="5"/>
  </r>
  <r>
    <d v="2024-12-10T00:00:00"/>
    <s v="9989011875"/>
    <s v="STARBIRD CHICKEN - FAIRFAX"/>
    <n v="1"/>
    <x v="10"/>
  </r>
  <r>
    <d v="2024-12-10T00:00:00"/>
    <s v="9989011875"/>
    <s v="STARBIRD CHICKEN - FAIRFAX"/>
    <n v="1"/>
    <x v="23"/>
  </r>
  <r>
    <d v="2024-12-10T00:00:00"/>
    <s v="9989011875"/>
    <s v="STARBIRD CHICKEN - FAIRFAX"/>
    <n v="1"/>
    <x v="8"/>
  </r>
  <r>
    <d v="2024-12-10T00:00:00"/>
    <s v="9989011875"/>
    <s v="STARBIRD CHICKEN - FAIRFAX"/>
    <n v="1"/>
    <x v="15"/>
  </r>
  <r>
    <d v="2024-12-10T00:00:00"/>
    <s v="9989011875"/>
    <s v="STARBIRD CHICKEN - FAIRFAX"/>
    <n v="1"/>
    <x v="5"/>
  </r>
  <r>
    <d v="2024-12-10T00:00:00"/>
    <s v="9989011875"/>
    <s v="STARBIRD CHICKEN - FAIRFAX"/>
    <n v="1"/>
    <x v="1"/>
  </r>
  <r>
    <d v="2024-12-10T00:00:00"/>
    <s v="9989011875"/>
    <s v="STARBIRD CHICKEN - FAIRFAX"/>
    <n v="1"/>
    <x v="4"/>
  </r>
  <r>
    <d v="2024-12-10T00:00:00"/>
    <s v="9989011875"/>
    <s v="STARBIRD CHICKEN - FAIRFAX"/>
    <n v="1"/>
    <x v="11"/>
  </r>
  <r>
    <d v="2024-12-11T00:00:00"/>
    <s v="9989011876"/>
    <s v="STARBIRD CHICKEN - SOUTH SAN FRANCISCO"/>
    <n v="3"/>
    <x v="8"/>
  </r>
  <r>
    <d v="2024-12-11T00:00:00"/>
    <s v="9989011876"/>
    <s v="STARBIRD CHICKEN - SOUTH SAN FRANCISCO"/>
    <n v="2"/>
    <x v="5"/>
  </r>
  <r>
    <d v="2024-12-11T00:00:00"/>
    <s v="9989011876"/>
    <s v="STARBIRD CHICKEN - SOUTH SAN FRANCISCO"/>
    <n v="1"/>
    <x v="23"/>
  </r>
  <r>
    <d v="2024-12-11T00:00:00"/>
    <s v="9989011876"/>
    <s v="STARBIRD CHICKEN - SOUTH SAN FRANCISCO"/>
    <n v="3"/>
    <x v="1"/>
  </r>
  <r>
    <d v="2024-12-11T00:00:00"/>
    <s v="9989011876"/>
    <s v="STARBIRD CHICKEN - SOUTH SAN FRANCISCO"/>
    <n v="2"/>
    <x v="4"/>
  </r>
  <r>
    <d v="2024-12-11T00:00:00"/>
    <s v="9989011876"/>
    <s v="STARBIRD CHICKEN - SOUTH SAN FRANCISCO"/>
    <n v="1"/>
    <x v="11"/>
  </r>
  <r>
    <d v="2024-12-11T00:00:00"/>
    <s v="9989011877"/>
    <s v="TRABOCCO"/>
    <n v="1"/>
    <x v="8"/>
  </r>
  <r>
    <d v="2024-12-11T00:00:00"/>
    <s v="9989011877"/>
    <s v="TRABOCCO"/>
    <n v="1"/>
    <x v="15"/>
  </r>
  <r>
    <d v="2024-12-11T00:00:00"/>
    <s v="9989011878"/>
    <s v="PENINSULA ITALIAN AMERICAN CLUB"/>
    <n v="2"/>
    <x v="15"/>
  </r>
  <r>
    <d v="2024-12-11T00:00:00"/>
    <s v="9989011878"/>
    <s v="PENINSULA ITALIAN AMERICAN CLUB"/>
    <n v="3"/>
    <x v="8"/>
  </r>
  <r>
    <d v="2024-12-11T00:00:00"/>
    <s v="9989011880"/>
    <s v="JOHNSTONS SALTBOX"/>
    <n v="1"/>
    <x v="10"/>
  </r>
  <r>
    <d v="2024-12-11T00:00:00"/>
    <s v="9989011880"/>
    <s v="JOHNSTONS SALTBOX"/>
    <n v="1"/>
    <x v="15"/>
  </r>
  <r>
    <d v="2024-12-11T00:00:00"/>
    <s v="9989011880"/>
    <s v="JOHNSTONS SALTBOX"/>
    <n v="1"/>
    <x v="5"/>
  </r>
  <r>
    <d v="2024-12-11T00:00:00"/>
    <s v="9989011881"/>
    <s v="THE YARD"/>
    <n v="1"/>
    <x v="13"/>
  </r>
  <r>
    <d v="2024-12-11T00:00:00"/>
    <s v="9989011881"/>
    <s v="THE YARD"/>
    <n v="1"/>
    <x v="26"/>
  </r>
  <r>
    <d v="2024-12-11T00:00:00"/>
    <s v="9989011881"/>
    <s v="THE YARD"/>
    <n v="1"/>
    <x v="27"/>
  </r>
  <r>
    <d v="2024-12-11T00:00:00"/>
    <s v="9989011881"/>
    <s v="THE YARD"/>
    <n v="1"/>
    <x v="5"/>
  </r>
  <r>
    <d v="2024-12-11T00:00:00"/>
    <s v="9989011881"/>
    <s v="THE YARD"/>
    <n v="1"/>
    <x v="17"/>
  </r>
  <r>
    <d v="2024-12-11T00:00:00"/>
    <s v="9989011881"/>
    <s v="THE YARD"/>
    <n v="1"/>
    <x v="7"/>
  </r>
  <r>
    <d v="2024-12-11T00:00:00"/>
    <s v="9989011882"/>
    <s v="OLD PRINCETON LANDING"/>
    <n v="2"/>
    <x v="15"/>
  </r>
  <r>
    <d v="2024-12-11T00:00:00"/>
    <s v="9989011882"/>
    <s v="OLD PRINCETON LANDING"/>
    <n v="2"/>
    <x v="8"/>
  </r>
  <r>
    <d v="2024-12-11T00:00:00"/>
    <s v="9989011882"/>
    <s v="OLD PRINCETON LANDING"/>
    <n v="1"/>
    <x v="16"/>
  </r>
  <r>
    <d v="2024-12-11T00:00:00"/>
    <s v="9989011883"/>
    <s v="CAMERONS RESTAURANT &amp; PUB"/>
    <n v="2"/>
    <x v="8"/>
  </r>
  <r>
    <d v="2024-12-11T00:00:00"/>
    <s v="9989011883"/>
    <s v="CAMERONS RESTAURANT &amp; PUB"/>
    <n v="2"/>
    <x v="15"/>
  </r>
  <r>
    <d v="2024-12-11T00:00:00"/>
    <s v="9989011883"/>
    <s v="CAMERONS RESTAURANT &amp; PUB"/>
    <n v="1"/>
    <x v="18"/>
  </r>
  <r>
    <d v="2024-12-11T00:00:00"/>
    <s v="9989011883"/>
    <s v="CAMERONS RESTAURANT &amp; PUB"/>
    <n v="1"/>
    <x v="6"/>
  </r>
  <r>
    <d v="2024-12-11T00:00:00"/>
    <s v="9989011883"/>
    <s v="CAMERONS RESTAURANT &amp; PUB"/>
    <n v="1"/>
    <x v="12"/>
  </r>
  <r>
    <d v="2024-12-11T00:00:00"/>
    <s v="9989011883"/>
    <s v="CAMERONS RESTAURANT &amp; PUB"/>
    <n v="2"/>
    <x v="19"/>
  </r>
  <r>
    <d v="2024-12-11T00:00:00"/>
    <s v="9989011884"/>
    <s v="CALI KID BURGERS AND SHAKES"/>
    <n v="1"/>
    <x v="8"/>
  </r>
  <r>
    <d v="2024-12-11T00:00:00"/>
    <s v="9989011884"/>
    <s v="CALI KID BURGERS AND SHAKES"/>
    <n v="1"/>
    <x v="15"/>
  </r>
  <r>
    <d v="2024-12-11T00:00:00"/>
    <s v="9989011884"/>
    <s v="CALI KID BURGERS AND SHAKES"/>
    <n v="1"/>
    <x v="12"/>
  </r>
  <r>
    <d v="2024-12-11T00:00:00"/>
    <s v="9989011884"/>
    <s v="CALI KID BURGERS AND SHAKES"/>
    <n v="1"/>
    <x v="10"/>
  </r>
  <r>
    <d v="2024-12-11T00:00:00"/>
    <s v="9989011884"/>
    <s v="CALI KID BURGERS AND SHAKES"/>
    <n v="1"/>
    <x v="6"/>
  </r>
  <r>
    <d v="2024-12-11T00:00:00"/>
    <s v="9989011884"/>
    <s v="CALI KID BURGERS AND SHAKES"/>
    <n v="1"/>
    <x v="17"/>
  </r>
  <r>
    <d v="2024-12-11T00:00:00"/>
    <s v="9989011884"/>
    <s v="CALI KID BURGERS AND SHAKES"/>
    <n v="1"/>
    <x v="5"/>
  </r>
  <r>
    <d v="2024-12-11T00:00:00"/>
    <s v="9989011885"/>
    <s v="THE MELT (STANFORD)"/>
    <n v="2"/>
    <x v="8"/>
  </r>
  <r>
    <d v="2024-12-11T00:00:00"/>
    <s v="9989011885"/>
    <s v="THE MELT (STANFORD)"/>
    <n v="2"/>
    <x v="9"/>
  </r>
  <r>
    <d v="2024-12-11T00:00:00"/>
    <s v="9989011885"/>
    <s v="THE MELT (STANFORD)"/>
    <n v="1"/>
    <x v="5"/>
  </r>
  <r>
    <d v="2024-12-11T00:00:00"/>
    <s v="9989011885"/>
    <s v="THE MELT (STANFORD)"/>
    <n v="1"/>
    <x v="10"/>
  </r>
  <r>
    <d v="2024-12-11T00:00:00"/>
    <s v="9989011886"/>
    <s v="STATE OF MIND PUBLIC HOUSE REDWOOD CITY"/>
    <n v="1"/>
    <x v="7"/>
  </r>
  <r>
    <d v="2024-12-11T00:00:00"/>
    <s v="9989011886"/>
    <s v="STATE OF MIND PUBLIC HOUSE REDWOOD CITY"/>
    <n v="1"/>
    <x v="8"/>
  </r>
  <r>
    <d v="2024-12-11T00:00:00"/>
    <s v="9989011886"/>
    <s v="STATE OF MIND PUBLIC HOUSE REDWOOD CITY"/>
    <n v="1"/>
    <x v="9"/>
  </r>
  <r>
    <d v="2024-12-11T00:00:00"/>
    <s v="9989011887"/>
    <s v="STARBIRD CHICKEN - PLEASANTON"/>
    <n v="2"/>
    <x v="8"/>
  </r>
  <r>
    <d v="2024-12-11T00:00:00"/>
    <s v="9989011887"/>
    <s v="STARBIRD CHICKEN - PLEASANTON"/>
    <n v="1"/>
    <x v="15"/>
  </r>
  <r>
    <d v="2024-12-11T00:00:00"/>
    <s v="9989011887"/>
    <s v="STARBIRD CHICKEN - PLEASANTON"/>
    <n v="1"/>
    <x v="12"/>
  </r>
  <r>
    <d v="2024-12-11T00:00:00"/>
    <s v="9989011887"/>
    <s v="STARBIRD CHICKEN - PLEASANTON"/>
    <n v="1"/>
    <x v="23"/>
  </r>
  <r>
    <d v="2024-12-11T00:00:00"/>
    <s v="9989011887"/>
    <s v="STARBIRD CHICKEN - PLEASANTON"/>
    <n v="2"/>
    <x v="5"/>
  </r>
  <r>
    <d v="2024-12-11T00:00:00"/>
    <s v="9989011887"/>
    <s v="STARBIRD CHICKEN - PLEASANTON"/>
    <n v="1"/>
    <x v="17"/>
  </r>
  <r>
    <d v="2024-12-11T00:00:00"/>
    <s v="9989011887"/>
    <s v="STARBIRD CHICKEN - PLEASANTON"/>
    <n v="1"/>
    <x v="10"/>
  </r>
  <r>
    <d v="2024-12-11T00:00:00"/>
    <s v="9989011887"/>
    <s v="STARBIRD CHICKEN - PLEASANTON"/>
    <n v="1"/>
    <x v="4"/>
  </r>
  <r>
    <d v="2024-12-11T00:00:00"/>
    <s v="9989011887"/>
    <s v="STARBIRD CHICKEN - PLEASANTON"/>
    <n v="1"/>
    <x v="15"/>
  </r>
  <r>
    <d v="2024-12-11T00:00:00"/>
    <s v="9989011888"/>
    <s v="LUNA LOCA (JAINS FOODS)"/>
    <n v="1"/>
    <x v="7"/>
  </r>
  <r>
    <d v="2024-12-11T00:00:00"/>
    <s v="9989011888"/>
    <s v="LUNA LOCA (JAINS FOODS)"/>
    <n v="1"/>
    <x v="8"/>
  </r>
  <r>
    <d v="2024-12-11T00:00:00"/>
    <s v="9989011889"/>
    <s v="STATE OF MIND SLICE HOUSE  (PALO ALTO)"/>
    <n v="1"/>
    <x v="19"/>
  </r>
  <r>
    <d v="2024-12-11T00:00:00"/>
    <s v="9989011889"/>
    <s v="STATE OF MIND SLICE HOUSE  (PALO ALTO)"/>
    <n v="1"/>
    <x v="17"/>
  </r>
  <r>
    <d v="2024-12-11T00:00:00"/>
    <s v="9989011889"/>
    <s v="STATE OF MIND SLICE HOUSE  (PALO ALTO)"/>
    <n v="1"/>
    <x v="7"/>
  </r>
  <r>
    <d v="2024-12-11T00:00:00"/>
    <s v="9989011890"/>
    <s v="THE MELT (DANVILLE)"/>
    <n v="1"/>
    <x v="10"/>
  </r>
  <r>
    <d v="2024-12-11T00:00:00"/>
    <s v="9989011890"/>
    <s v="THE MELT (DANVILLE)"/>
    <n v="1"/>
    <x v="12"/>
  </r>
  <r>
    <d v="2024-12-11T00:00:00"/>
    <s v="9989011890"/>
    <s v="THE MELT (DANVILLE)"/>
    <n v="1"/>
    <x v="9"/>
  </r>
  <r>
    <d v="2024-12-11T00:00:00"/>
    <s v="9989011890"/>
    <s v="THE MELT (DANVILLE)"/>
    <n v="1"/>
    <x v="5"/>
  </r>
  <r>
    <d v="2024-12-11T00:00:00"/>
    <s v="9989011891"/>
    <s v="DANVILLE BREWERY"/>
    <n v="1"/>
    <x v="27"/>
  </r>
  <r>
    <d v="2024-12-11T00:00:00"/>
    <s v="9989011891"/>
    <s v="DANVILLE BREWERY"/>
    <n v="1"/>
    <x v="13"/>
  </r>
  <r>
    <d v="2024-12-11T00:00:00"/>
    <s v="9989011891"/>
    <s v="DANVILLE BREWERY"/>
    <n v="1"/>
    <x v="26"/>
  </r>
  <r>
    <d v="2024-12-11T00:00:00"/>
    <s v="9989011892"/>
    <s v="MONTE CARLO"/>
    <n v="1"/>
    <x v="8"/>
  </r>
  <r>
    <d v="2024-12-11T00:00:00"/>
    <s v="9989011894"/>
    <s v="CANYON CLUB BREWERY"/>
    <n v="1"/>
    <x v="12"/>
  </r>
  <r>
    <d v="2024-12-11T00:00:00"/>
    <s v="9989011894"/>
    <s v="CANYON CLUB BREWERY"/>
    <n v="2"/>
    <x v="7"/>
  </r>
  <r>
    <d v="2024-12-11T00:00:00"/>
    <s v="9989011894"/>
    <s v="CANYON CLUB BREWERY"/>
    <n v="1"/>
    <x v="8"/>
  </r>
  <r>
    <d v="2024-12-11T00:00:00"/>
    <s v="9989011895"/>
    <s v="THE MELT (SUNNYVALE #0043)"/>
    <n v="2"/>
    <x v="8"/>
  </r>
  <r>
    <d v="2024-12-11T00:00:00"/>
    <s v="9989011895"/>
    <s v="THE MELT (SUNNYVALE #0043)"/>
    <n v="2"/>
    <x v="5"/>
  </r>
  <r>
    <d v="2024-12-11T00:00:00"/>
    <s v="9989011895"/>
    <s v="THE MELT (SUNNYVALE #0043)"/>
    <n v="1"/>
    <x v="16"/>
  </r>
  <r>
    <d v="2024-12-11T00:00:00"/>
    <s v="9989011895"/>
    <s v="THE MELT (SUNNYVALE #0043)"/>
    <n v="1"/>
    <x v="10"/>
  </r>
  <r>
    <d v="2024-12-11T00:00:00"/>
    <s v="9989011896"/>
    <s v="STARBIRD CHICKEN-CUPERTINO"/>
    <n v="2"/>
    <x v="8"/>
  </r>
  <r>
    <d v="2024-12-11T00:00:00"/>
    <s v="9989011896"/>
    <s v="STARBIRD CHICKEN-CUPERTINO"/>
    <n v="1"/>
    <x v="15"/>
  </r>
  <r>
    <d v="2024-12-11T00:00:00"/>
    <s v="9989011896"/>
    <s v="STARBIRD CHICKEN-CUPERTINO"/>
    <n v="1"/>
    <x v="12"/>
  </r>
  <r>
    <d v="2024-12-11T00:00:00"/>
    <s v="9989011896"/>
    <s v="STARBIRD CHICKEN-CUPERTINO"/>
    <n v="1"/>
    <x v="5"/>
  </r>
  <r>
    <d v="2024-12-11T00:00:00"/>
    <s v="9989011896"/>
    <s v="STARBIRD CHICKEN-CUPERTINO"/>
    <n v="1"/>
    <x v="17"/>
  </r>
  <r>
    <d v="2024-12-11T00:00:00"/>
    <s v="9989011896"/>
    <s v="STARBIRD CHICKEN-CUPERTINO"/>
    <n v="1"/>
    <x v="23"/>
  </r>
  <r>
    <d v="2024-12-11T00:00:00"/>
    <s v="9989011896"/>
    <s v="STARBIRD CHICKEN-CUPERTINO"/>
    <n v="1"/>
    <x v="10"/>
  </r>
  <r>
    <d v="2024-12-11T00:00:00"/>
    <s v="9989011896"/>
    <s v="STARBIRD CHICKEN-CUPERTINO"/>
    <n v="1"/>
    <x v="11"/>
  </r>
  <r>
    <d v="2024-12-11T00:00:00"/>
    <s v="9989011896"/>
    <s v="STARBIRD CHICKEN-CUPERTINO"/>
    <n v="1"/>
    <x v="1"/>
  </r>
  <r>
    <d v="2024-12-11T00:00:00"/>
    <s v="9989011896"/>
    <s v="STARBIRD CHICKEN-CUPERTINO"/>
    <n v="1"/>
    <x v="3"/>
  </r>
  <r>
    <d v="2024-12-11T00:00:00"/>
    <s v="9989011896"/>
    <s v="STARBIRD CHICKEN-CUPERTINO"/>
    <n v="1"/>
    <x v="4"/>
  </r>
  <r>
    <d v="2024-12-11T00:00:00"/>
    <s v="9989011897"/>
    <s v="PAUL &amp; EDDIES &amp; ASSOCIATES"/>
    <n v="1"/>
    <x v="12"/>
  </r>
  <r>
    <d v="2024-12-11T00:00:00"/>
    <s v="9989011897"/>
    <s v="PAUL &amp; EDDIES &amp; ASSOCIATES"/>
    <n v="1"/>
    <x v="19"/>
  </r>
  <r>
    <d v="2024-12-11T00:00:00"/>
    <s v="9989011898"/>
    <s v="STATE OF MIND PUBLIC HOUSE &amp; PIZZERIA (LOS ALTOS)"/>
    <n v="1"/>
    <x v="8"/>
  </r>
  <r>
    <d v="2024-12-11T00:00:00"/>
    <s v="9989011898"/>
    <s v="STATE OF MIND PUBLIC HOUSE &amp; PIZZERIA (LOS ALTOS)"/>
    <n v="1"/>
    <x v="15"/>
  </r>
  <r>
    <d v="2024-12-11T00:00:00"/>
    <s v="9989011898"/>
    <s v="STATE OF MIND PUBLIC HOUSE &amp; PIZZERIA (LOS ALTOS)"/>
    <n v="1"/>
    <x v="7"/>
  </r>
  <r>
    <d v="2024-12-11T00:00:00"/>
    <s v="9989011898"/>
    <s v="STATE OF MIND PUBLIC HOUSE &amp; PIZZERIA (LOS ALTOS)"/>
    <n v="1"/>
    <x v="9"/>
  </r>
  <r>
    <d v="2024-12-11T00:00:00"/>
    <s v="9989011899"/>
    <s v="WHY NOT LOUNGE"/>
    <n v="1"/>
    <x v="28"/>
  </r>
  <r>
    <d v="2024-12-11T00:00:00"/>
    <s v="9989011899"/>
    <s v="WHY NOT LOUNGE"/>
    <n v="1"/>
    <x v="14"/>
  </r>
  <r>
    <d v="2024-12-11T00:00:00"/>
    <s v="9989011899"/>
    <s v="WHY NOT LOUNGE"/>
    <n v="1"/>
    <x v="18"/>
  </r>
  <r>
    <d v="2024-12-11T00:00:00"/>
    <s v="9989011899"/>
    <s v="WHY NOT LOUNGE"/>
    <n v="1"/>
    <x v="12"/>
  </r>
  <r>
    <d v="2024-12-11T00:00:00"/>
    <s v="9989011900"/>
    <s v="MOLLY O'S"/>
    <n v="1"/>
    <x v="24"/>
  </r>
  <r>
    <d v="2024-12-11T00:00:00"/>
    <s v="9989011900"/>
    <s v="MOLLY O'S"/>
    <n v="1"/>
    <x v="8"/>
  </r>
  <r>
    <d v="2024-12-11T00:00:00"/>
    <s v="9989011900"/>
    <s v="MOLLY O'S"/>
    <n v="1"/>
    <x v="12"/>
  </r>
  <r>
    <d v="2024-12-11T00:00:00"/>
    <s v="9989011901"/>
    <s v="YAFA HUMMUS"/>
    <n v="1"/>
    <x v="15"/>
  </r>
  <r>
    <d v="2024-12-11T00:00:00"/>
    <s v="9989011901"/>
    <s v="YAFA HUMMUS"/>
    <n v="1"/>
    <x v="8"/>
  </r>
  <r>
    <d v="2024-12-11T00:00:00"/>
    <s v="9989011901"/>
    <s v="YAFA HUMMUS"/>
    <n v="1"/>
    <x v="12"/>
  </r>
  <r>
    <d v="2024-12-11T00:00:00"/>
    <s v="9989011901"/>
    <s v="YAFA HUMMUS"/>
    <n v="1"/>
    <x v="5"/>
  </r>
  <r>
    <d v="2024-12-11T00:00:00"/>
    <s v="9989011901"/>
    <s v="YAFA HUMMUS"/>
    <n v="1"/>
    <x v="9"/>
  </r>
  <r>
    <d v="2024-12-11T00:00:00"/>
    <s v="9989011901"/>
    <s v="YAFA HUMMUS"/>
    <n v="1"/>
    <x v="17"/>
  </r>
  <r>
    <d v="2024-12-11T00:00:00"/>
    <s v="9989011901"/>
    <s v="YAFA HUMMUS"/>
    <n v="1"/>
    <x v="7"/>
  </r>
  <r>
    <d v="2024-12-12T00:00:00"/>
    <s v="9989011902"/>
    <s v="STARBIRD - TASTES ON THE FLY SF"/>
    <n v="3"/>
    <x v="8"/>
  </r>
  <r>
    <d v="2024-12-12T00:00:00"/>
    <s v="9989011902"/>
    <s v="STARBIRD - TASTES ON THE FLY SF"/>
    <n v="2"/>
    <x v="5"/>
  </r>
  <r>
    <d v="2024-12-12T00:00:00"/>
    <s v="9989011902"/>
    <s v="STARBIRD - TASTES ON THE FLY SF"/>
    <n v="3"/>
    <x v="15"/>
  </r>
  <r>
    <d v="2024-12-12T00:00:00"/>
    <s v="9989011902"/>
    <s v="STARBIRD - TASTES ON THE FLY SF"/>
    <n v="1"/>
    <x v="9"/>
  </r>
  <r>
    <d v="2024-12-12T00:00:00"/>
    <s v="9989011902"/>
    <s v="STARBIRD - TASTES ON THE FLY SF"/>
    <n v="2"/>
    <x v="10"/>
  </r>
  <r>
    <d v="2024-12-12T00:00:00"/>
    <s v="9989011902"/>
    <s v="STARBIRD - TASTES ON THE FLY SF"/>
    <n v="1"/>
    <x v="5"/>
  </r>
  <r>
    <d v="2024-12-12T00:00:00"/>
    <s v="9989011903"/>
    <s v="ESTUDILLO PRODUCE &amp; DELI"/>
    <n v="1"/>
    <x v="2"/>
  </r>
  <r>
    <d v="2024-12-12T00:00:00"/>
    <s v="9989011903"/>
    <s v="ESTUDILLO PRODUCE &amp; DELI"/>
    <n v="1"/>
    <x v="11"/>
  </r>
  <r>
    <d v="2024-12-12T00:00:00"/>
    <s v="9989011903"/>
    <s v="ESTUDILLO PRODUCE &amp; DELI"/>
    <n v="1"/>
    <x v="1"/>
  </r>
  <r>
    <d v="2024-12-12T00:00:00"/>
    <s v="9989011903"/>
    <s v="ESTUDILLO PRODUCE &amp; DELI"/>
    <n v="1"/>
    <x v="3"/>
  </r>
  <r>
    <d v="2024-12-12T00:00:00"/>
    <s v="9989011903"/>
    <s v="ESTUDILLO PRODUCE &amp; DELI"/>
    <n v="1"/>
    <x v="4"/>
  </r>
  <r>
    <d v="2024-12-12T00:00:00"/>
    <s v="9989011903"/>
    <s v="ESTUDILLO PRODUCE &amp; DELI"/>
    <n v="1"/>
    <x v="0"/>
  </r>
  <r>
    <d v="2024-12-12T00:00:00"/>
    <s v="9989011903"/>
    <s v="ESTUDILLO PRODUCE &amp; DELI"/>
    <n v="1"/>
    <x v="1"/>
  </r>
  <r>
    <d v="2024-12-12T00:00:00"/>
    <s v="9989011903"/>
    <s v="ESTUDILLO PRODUCE &amp; DELI"/>
    <n v="1"/>
    <x v="3"/>
  </r>
  <r>
    <d v="2024-12-12T00:00:00"/>
    <s v="9989011905"/>
    <s v="SLICE HOUSE"/>
    <n v="1"/>
    <x v="15"/>
  </r>
  <r>
    <d v="2024-12-12T00:00:00"/>
    <s v="9989011905"/>
    <s v="SLICE HOUSE"/>
    <n v="1"/>
    <x v="8"/>
  </r>
  <r>
    <d v="2024-12-12T00:00:00"/>
    <s v="9989011905"/>
    <s v="SLICE HOUSE"/>
    <n v="1"/>
    <x v="12"/>
  </r>
  <r>
    <d v="2024-12-12T00:00:00"/>
    <s v="9989011905"/>
    <s v="SLICE HOUSE"/>
    <n v="1"/>
    <x v="7"/>
  </r>
  <r>
    <d v="2024-12-12T00:00:00"/>
    <s v="9989011906"/>
    <s v="ROOSTER &amp; RICE"/>
    <n v="1"/>
    <x v="8"/>
  </r>
  <r>
    <d v="2024-12-12T00:00:00"/>
    <s v="9989011906"/>
    <s v="ROOSTER &amp; RICE"/>
    <n v="1"/>
    <x v="12"/>
  </r>
  <r>
    <d v="2024-12-12T00:00:00"/>
    <s v="9989011906"/>
    <s v="ROOSTER &amp; RICE"/>
    <n v="1"/>
    <x v="9"/>
  </r>
  <r>
    <d v="2024-12-12T00:00:00"/>
    <s v="9989011907"/>
    <s v="LA ROCCA CORNER"/>
    <n v="1"/>
    <x v="7"/>
  </r>
  <r>
    <d v="2024-12-12T00:00:00"/>
    <s v="9989011907"/>
    <s v="LA ROCCA CORNER"/>
    <n v="1"/>
    <x v="12"/>
  </r>
  <r>
    <d v="2024-12-12T00:00:00"/>
    <s v="9989011907"/>
    <s v="LA ROCCA CORNER"/>
    <n v="1"/>
    <x v="8"/>
  </r>
  <r>
    <d v="2024-12-12T00:00:00"/>
    <s v="9989011908"/>
    <s v="THE MELT (SANTA CLARA 0045)"/>
    <n v="3"/>
    <x v="8"/>
  </r>
  <r>
    <d v="2024-12-12T00:00:00"/>
    <s v="9989011908"/>
    <s v="THE MELT (SANTA CLARA 0045)"/>
    <n v="2"/>
    <x v="15"/>
  </r>
  <r>
    <d v="2024-12-12T00:00:00"/>
    <s v="9989011908"/>
    <s v="THE MELT (SANTA CLARA 0045)"/>
    <n v="2"/>
    <x v="16"/>
  </r>
  <r>
    <d v="2024-12-12T00:00:00"/>
    <s v="9989011908"/>
    <s v="THE MELT (SANTA CLARA 0045)"/>
    <n v="1"/>
    <x v="9"/>
  </r>
  <r>
    <d v="2024-12-12T00:00:00"/>
    <s v="9989011908"/>
    <s v="THE MELT (SANTA CLARA 0045)"/>
    <n v="2"/>
    <x v="5"/>
  </r>
  <r>
    <d v="2024-12-12T00:00:00"/>
    <s v="9989011908"/>
    <s v="THE MELT (SANTA CLARA 0045)"/>
    <n v="2"/>
    <x v="12"/>
  </r>
  <r>
    <d v="2024-12-12T00:00:00"/>
    <s v="9989011909"/>
    <s v="RICK &amp; ROXY'S-DEL MAR"/>
    <n v="2"/>
    <x v="12"/>
  </r>
  <r>
    <d v="2024-12-12T00:00:00"/>
    <s v="9989011910"/>
    <s v="STRAITS SANTANA ROW"/>
    <n v="1"/>
    <x v="15"/>
  </r>
  <r>
    <d v="2024-12-12T00:00:00"/>
    <s v="9989011910"/>
    <s v="STRAITS SANTANA ROW"/>
    <n v="1"/>
    <x v="8"/>
  </r>
  <r>
    <d v="2024-12-12T00:00:00"/>
    <s v="9989011910"/>
    <s v="STRAITS SANTANA ROW"/>
    <n v="1"/>
    <x v="12"/>
  </r>
  <r>
    <d v="2024-12-12T00:00:00"/>
    <s v="9989011910"/>
    <s v="STRAITS SANTANA ROW"/>
    <n v="1"/>
    <x v="24"/>
  </r>
  <r>
    <d v="2024-12-12T00:00:00"/>
    <s v="9989011910"/>
    <s v="STRAITS SANTANA ROW"/>
    <n v="2"/>
    <x v="28"/>
  </r>
  <r>
    <d v="2024-12-12T00:00:00"/>
    <s v="9989011910"/>
    <s v="STRAITS SANTANA ROW"/>
    <n v="2"/>
    <x v="10"/>
  </r>
  <r>
    <d v="2024-12-12T00:00:00"/>
    <s v="9989011911"/>
    <s v="THE LAUNDROMAT"/>
    <n v="2"/>
    <x v="8"/>
  </r>
  <r>
    <d v="2024-12-12T00:00:00"/>
    <s v="9989011911"/>
    <s v="THE LAUNDROMAT"/>
    <n v="2"/>
    <x v="4"/>
  </r>
  <r>
    <d v="2024-12-12T00:00:00"/>
    <s v="9989011913"/>
    <s v="THE TEMPLE BAR"/>
    <n v="3"/>
    <x v="28"/>
  </r>
  <r>
    <d v="2024-12-12T00:00:00"/>
    <s v="9989011913"/>
    <s v="THE TEMPLE BAR"/>
    <n v="3"/>
    <x v="14"/>
  </r>
  <r>
    <d v="2024-12-12T00:00:00"/>
    <s v="9989011913"/>
    <s v="THE TEMPLE BAR"/>
    <n v="3"/>
    <x v="22"/>
  </r>
  <r>
    <d v="2024-12-12T00:00:00"/>
    <s v="9989011913"/>
    <s v="THE TEMPLE BAR"/>
    <n v="3"/>
    <x v="8"/>
  </r>
  <r>
    <d v="2024-12-12T00:00:00"/>
    <s v="9989011913"/>
    <s v="THE TEMPLE BAR"/>
    <n v="2"/>
    <x v="19"/>
  </r>
  <r>
    <d v="2024-12-12T00:00:00"/>
    <s v="9989011913"/>
    <s v="THE TEMPLE BAR"/>
    <n v="2"/>
    <x v="12"/>
  </r>
  <r>
    <d v="2024-12-12T00:00:00"/>
    <s v="9989011914"/>
    <s v="ITALIAN AMERICAN SOCIAL CLUB"/>
    <n v="2"/>
    <x v="12"/>
  </r>
  <r>
    <d v="2024-12-12T00:00:00"/>
    <s v="9989011914"/>
    <s v="ITALIAN AMERICAN SOCIAL CLUB"/>
    <n v="1"/>
    <x v="15"/>
  </r>
  <r>
    <d v="2024-12-12T00:00:00"/>
    <s v="9989011915"/>
    <s v="STARBIRD CHICKEN - SAN JOSE"/>
    <n v="1"/>
    <x v="11"/>
  </r>
  <r>
    <d v="2024-12-12T00:00:00"/>
    <s v="9989011915"/>
    <s v="STARBIRD CHICKEN - SAN JOSE"/>
    <n v="1"/>
    <x v="4"/>
  </r>
  <r>
    <d v="2024-12-12T00:00:00"/>
    <s v="9989011915"/>
    <s v="STARBIRD CHICKEN - SAN JOSE"/>
    <n v="1"/>
    <x v="15"/>
  </r>
  <r>
    <d v="2024-12-12T00:00:00"/>
    <s v="9989011915"/>
    <s v="STARBIRD CHICKEN - SAN JOSE"/>
    <n v="1"/>
    <x v="8"/>
  </r>
  <r>
    <d v="2024-12-12T00:00:00"/>
    <s v="9989011915"/>
    <s v="STARBIRD CHICKEN - SAN JOSE"/>
    <n v="1"/>
    <x v="12"/>
  </r>
  <r>
    <d v="2024-12-12T00:00:00"/>
    <s v="9989011915"/>
    <s v="STARBIRD CHICKEN - SAN JOSE"/>
    <n v="1"/>
    <x v="5"/>
  </r>
  <r>
    <d v="2024-12-12T00:00:00"/>
    <s v="9989011916"/>
    <s v="THE STUD"/>
    <n v="1"/>
    <x v="15"/>
  </r>
  <r>
    <d v="2024-12-12T00:00:00"/>
    <s v="9989011916"/>
    <s v="THE STUD"/>
    <n v="1"/>
    <x v="8"/>
  </r>
  <r>
    <d v="2024-12-12T00:00:00"/>
    <s v="9989011916"/>
    <s v="THE STUD"/>
    <n v="1"/>
    <x v="12"/>
  </r>
  <r>
    <d v="2024-12-12T00:00:00"/>
    <s v="9989011916"/>
    <s v="THE STUD"/>
    <n v="1"/>
    <x v="18"/>
  </r>
  <r>
    <d v="2024-12-12T00:00:00"/>
    <s v="9989011916"/>
    <s v="THE STUD"/>
    <n v="1"/>
    <x v="19"/>
  </r>
  <r>
    <d v="2024-12-12T00:00:00"/>
    <s v="9989011916"/>
    <s v="THE STUD"/>
    <n v="1"/>
    <x v="10"/>
  </r>
  <r>
    <d v="2024-12-12T00:00:00"/>
    <s v="9989011917"/>
    <s v="SPORTS PAGE"/>
    <n v="1"/>
    <x v="12"/>
  </r>
  <r>
    <d v="2024-12-12T00:00:00"/>
    <s v="9989011917"/>
    <s v="SPORTS PAGE"/>
    <n v="1"/>
    <x v="21"/>
  </r>
  <r>
    <d v="2024-12-12T00:00:00"/>
    <s v="9989011917"/>
    <s v="SPORTS PAGE"/>
    <n v="2"/>
    <x v="14"/>
  </r>
  <r>
    <d v="2024-12-12T00:00:00"/>
    <s v="9989011919"/>
    <s v="MONROE"/>
    <n v="1"/>
    <x v="21"/>
  </r>
  <r>
    <d v="2024-12-12T00:00:00"/>
    <s v="9989011919"/>
    <s v="MONROE"/>
    <n v="1"/>
    <x v="12"/>
  </r>
  <r>
    <d v="2024-12-12T00:00:00"/>
    <s v="9989011920"/>
    <s v="BRIX BEVERAGE - SAMPLING"/>
    <n v="5"/>
    <x v="1"/>
  </r>
  <r>
    <d v="2024-12-12T00:00:00"/>
    <s v="9989011920"/>
    <s v="BRIX BEVERAGE - SAMPLING"/>
    <n v="1"/>
    <x v="3"/>
  </r>
  <r>
    <d v="2024-12-12T00:00:00"/>
    <s v="9989011920"/>
    <s v="BRIX BEVERAGE - SAMPLING"/>
    <n v="1"/>
    <x v="2"/>
  </r>
  <r>
    <d v="2024-12-12T00:00:00"/>
    <s v="9989011920"/>
    <s v="BRIX BEVERAGE - SAMPLING"/>
    <n v="1"/>
    <x v="4"/>
  </r>
  <r>
    <d v="2024-12-12T00:00:00"/>
    <s v="9989011920"/>
    <s v="BRIX BEVERAGE - SAMPLING"/>
    <n v="1"/>
    <x v="0"/>
  </r>
  <r>
    <d v="2024-12-12T00:00:00"/>
    <s v="9989011920"/>
    <s v="BRIX BEVERAGE - SAMPLING"/>
    <n v="1"/>
    <x v="11"/>
  </r>
  <r>
    <d v="2024-12-12T00:00:00"/>
    <s v="9989011921"/>
    <s v="THE SEA STAR"/>
    <n v="1"/>
    <x v="12"/>
  </r>
  <r>
    <d v="2024-12-12T00:00:00"/>
    <s v="9989011921"/>
    <s v="THE SEA STAR"/>
    <n v="1"/>
    <x v="29"/>
  </r>
  <r>
    <d v="2024-12-12T00:00:00"/>
    <s v="9989011921"/>
    <s v="THE SEA STAR"/>
    <n v="1"/>
    <x v="14"/>
  </r>
  <r>
    <d v="2024-12-12T00:00:00"/>
    <s v="9989011922"/>
    <s v="SIDESTREET PHO"/>
    <n v="1"/>
    <x v="10"/>
  </r>
  <r>
    <d v="2024-12-12T00:00:00"/>
    <s v="9989011923"/>
    <s v="ELBO ROOM JACK LONDON"/>
    <n v="1"/>
    <x v="8"/>
  </r>
  <r>
    <d v="2024-12-12T00:00:00"/>
    <s v="9989011923"/>
    <s v="ELBO ROOM JACK LONDON"/>
    <n v="1"/>
    <x v="14"/>
  </r>
  <r>
    <d v="2024-12-13T00:00:00"/>
    <s v="9989011925"/>
    <s v="2101 CLUB"/>
    <n v="2"/>
    <x v="14"/>
  </r>
  <r>
    <d v="2024-12-13T00:00:00"/>
    <s v="9989011926"/>
    <s v="GATHER"/>
    <n v="2"/>
    <x v="11"/>
  </r>
  <r>
    <d v="2024-12-13T00:00:00"/>
    <s v="9989011926"/>
    <s v="GATHER"/>
    <n v="3"/>
    <x v="1"/>
  </r>
  <r>
    <d v="2024-12-13T00:00:00"/>
    <s v="9989011927"/>
    <s v="MCGEES"/>
    <n v="1"/>
    <x v="13"/>
  </r>
  <r>
    <d v="2024-12-13T00:00:00"/>
    <s v="9989011927"/>
    <s v="MCGEES"/>
    <n v="1"/>
    <x v="26"/>
  </r>
  <r>
    <d v="2024-12-13T00:00:00"/>
    <s v="9989011927"/>
    <s v="MCGEES"/>
    <n v="1"/>
    <x v="27"/>
  </r>
  <r>
    <d v="2024-12-13T00:00:00"/>
    <s v="9989011927"/>
    <s v="MCGEES"/>
    <n v="1"/>
    <x v="18"/>
  </r>
  <r>
    <d v="2024-12-13T00:00:00"/>
    <s v="9989011928"/>
    <s v="EAST BAY NATURAL GROCERY"/>
    <n v="3"/>
    <x v="1"/>
  </r>
  <r>
    <d v="2024-12-13T00:00:00"/>
    <s v="9989011928"/>
    <s v="EAST BAY NATURAL GROCERY"/>
    <n v="3"/>
    <x v="4"/>
  </r>
  <r>
    <d v="2024-12-13T00:00:00"/>
    <s v="9989011928"/>
    <s v="EAST BAY NATURAL GROCERY"/>
    <n v="2"/>
    <x v="11"/>
  </r>
  <r>
    <d v="2024-12-13T00:00:00"/>
    <s v="9989011928"/>
    <s v="EAST BAY NATURAL GROCERY"/>
    <n v="2"/>
    <x v="20"/>
  </r>
  <r>
    <d v="2024-12-13T00:00:00"/>
    <s v="9989011928"/>
    <s v="EAST BAY NATURAL GROCERY"/>
    <n v="1"/>
    <x v="3"/>
  </r>
  <r>
    <d v="2024-12-13T00:00:00"/>
    <s v="9989011928"/>
    <s v="EAST BAY NATURAL GROCERY"/>
    <n v="1"/>
    <x v="2"/>
  </r>
  <r>
    <d v="2024-12-13T00:00:00"/>
    <s v="9989011929"/>
    <s v="STARBIRD CHICKEN - CORTE MADERA"/>
    <n v="1"/>
    <x v="8"/>
  </r>
  <r>
    <d v="2024-12-13T00:00:00"/>
    <s v="9989011929"/>
    <s v="STARBIRD CHICKEN - CORTE MADERA"/>
    <n v="2"/>
    <x v="15"/>
  </r>
  <r>
    <d v="2024-12-13T00:00:00"/>
    <s v="9989011929"/>
    <s v="STARBIRD CHICKEN - CORTE MADERA"/>
    <n v="1"/>
    <x v="12"/>
  </r>
  <r>
    <d v="2024-12-13T00:00:00"/>
    <s v="9989011929"/>
    <s v="STARBIRD CHICKEN - CORTE MADERA"/>
    <n v="1"/>
    <x v="17"/>
  </r>
  <r>
    <d v="2024-12-13T00:00:00"/>
    <s v="9989011929"/>
    <s v="STARBIRD CHICKEN - CORTE MADERA"/>
    <n v="1"/>
    <x v="5"/>
  </r>
  <r>
    <d v="2024-12-13T00:00:00"/>
    <s v="9989011929"/>
    <s v="STARBIRD CHICKEN - CORTE MADERA"/>
    <n v="1"/>
    <x v="1"/>
  </r>
  <r>
    <d v="2024-12-13T00:00:00"/>
    <s v="9989011929"/>
    <s v="STARBIRD CHICKEN - CORTE MADERA"/>
    <n v="1"/>
    <x v="3"/>
  </r>
  <r>
    <d v="2024-12-13T00:00:00"/>
    <s v="9989011931"/>
    <s v="THE JUNCTION"/>
    <n v="2"/>
    <x v="7"/>
  </r>
  <r>
    <d v="2024-12-13T00:00:00"/>
    <s v="9989011931"/>
    <s v="THE JUNCTION"/>
    <n v="1"/>
    <x v="24"/>
  </r>
  <r>
    <d v="2024-12-13T00:00:00"/>
    <s v="9989011932"/>
    <s v="THE MELT (FOLSOM)"/>
    <n v="1"/>
    <x v="16"/>
  </r>
  <r>
    <d v="2024-12-13T00:00:00"/>
    <s v="9989011932"/>
    <s v="THE MELT (FOLSOM)"/>
    <n v="1"/>
    <x v="8"/>
  </r>
  <r>
    <d v="2024-12-13T00:00:00"/>
    <s v="9989011932"/>
    <s v="THE MELT (FOLSOM)"/>
    <n v="3"/>
    <x v="5"/>
  </r>
  <r>
    <d v="2024-12-13T00:00:00"/>
    <s v="9989011933"/>
    <s v="PARKWAY LOUNGE"/>
    <n v="1"/>
    <x v="28"/>
  </r>
  <r>
    <d v="2024-12-13T00:00:00"/>
    <s v="9989011933"/>
    <s v="PARKWAY LOUNGE"/>
    <n v="1"/>
    <x v="19"/>
  </r>
  <r>
    <d v="2024-12-13T00:00:00"/>
    <s v="9989011933"/>
    <s v="PARKWAY LOUNGE"/>
    <n v="1"/>
    <x v="10"/>
  </r>
  <r>
    <d v="2024-12-13T00:00:00"/>
    <s v="9989011934"/>
    <s v="BREWSTERS BEER GARDEN LLC"/>
    <n v="5"/>
    <x v="8"/>
  </r>
  <r>
    <d v="2024-12-13T00:00:00"/>
    <s v="9989011934"/>
    <s v="BREWSTERS BEER GARDEN LLC"/>
    <n v="4"/>
    <x v="12"/>
  </r>
  <r>
    <d v="2024-12-13T00:00:00"/>
    <s v="9989011934"/>
    <s v="BREWSTERS BEER GARDEN LLC"/>
    <n v="4"/>
    <x v="15"/>
  </r>
  <r>
    <d v="2024-12-13T00:00:00"/>
    <s v="9989011934"/>
    <s v="BREWSTERS BEER GARDEN LLC"/>
    <n v="3"/>
    <x v="16"/>
  </r>
  <r>
    <d v="2024-12-13T00:00:00"/>
    <s v="9989011935"/>
    <s v="THE MELT (SACRAMENTO-BLVD)"/>
    <n v="3"/>
    <x v="16"/>
  </r>
  <r>
    <d v="2024-12-13T00:00:00"/>
    <s v="9989011935"/>
    <s v="THE MELT (SACRAMENTO-BLVD)"/>
    <n v="2"/>
    <x v="8"/>
  </r>
  <r>
    <d v="2024-12-13T00:00:00"/>
    <s v="9989011935"/>
    <s v="THE MELT (SACRAMENTO-BLVD)"/>
    <n v="2"/>
    <x v="15"/>
  </r>
  <r>
    <d v="2024-12-13T00:00:00"/>
    <s v="9989011935"/>
    <s v="THE MELT (SACRAMENTO-BLVD)"/>
    <n v="2"/>
    <x v="10"/>
  </r>
  <r>
    <d v="2024-12-13T00:00:00"/>
    <s v="9989011935"/>
    <s v="THE MELT (SACRAMENTO-BLVD)"/>
    <n v="4"/>
    <x v="5"/>
  </r>
  <r>
    <d v="2024-12-13T00:00:00"/>
    <s v="9989011936"/>
    <s v="LAUREL LOUNGE"/>
    <n v="1"/>
    <x v="14"/>
  </r>
  <r>
    <d v="2024-12-13T00:00:00"/>
    <s v="9989011936"/>
    <s v="LAUREL LOUNGE"/>
    <n v="1"/>
    <x v="12"/>
  </r>
  <r>
    <d v="2024-12-13T00:00:00"/>
    <s v="9989011937"/>
    <s v="CALI'S SPORTS BAR"/>
    <n v="2"/>
    <x v="15"/>
  </r>
  <r>
    <d v="2024-12-13T00:00:00"/>
    <s v="9989011937"/>
    <s v="CALI'S SPORTS BAR"/>
    <n v="1"/>
    <x v="12"/>
  </r>
  <r>
    <d v="2024-12-13T00:00:00"/>
    <s v="9989011937"/>
    <s v="CALI'S SPORTS BAR"/>
    <n v="1"/>
    <x v="19"/>
  </r>
  <r>
    <d v="2024-12-13T00:00:00"/>
    <s v="9989011937"/>
    <s v="CALI'S SPORTS BAR"/>
    <n v="1"/>
    <x v="5"/>
  </r>
  <r>
    <d v="2024-12-16T00:00:00"/>
    <s v="9989011938"/>
    <s v="STARBIRD CHICKEN - FOSTER CITY"/>
    <n v="3"/>
    <x v="8"/>
  </r>
  <r>
    <d v="2024-12-16T00:00:00"/>
    <s v="9989011938"/>
    <s v="STARBIRD CHICKEN - FOSTER CITY"/>
    <n v="1"/>
    <x v="5"/>
  </r>
  <r>
    <d v="2024-12-16T00:00:00"/>
    <s v="9989011938"/>
    <s v="STARBIRD CHICKEN - FOSTER CITY"/>
    <n v="1"/>
    <x v="10"/>
  </r>
  <r>
    <d v="2024-12-16T00:00:00"/>
    <s v="9989011938"/>
    <s v="STARBIRD CHICKEN - FOSTER CITY"/>
    <n v="1"/>
    <x v="23"/>
  </r>
  <r>
    <d v="2024-12-16T00:00:00"/>
    <s v="9989011938"/>
    <s v="STARBIRD CHICKEN - FOSTER CITY"/>
    <n v="1"/>
    <x v="1"/>
  </r>
  <r>
    <d v="2024-12-16T00:00:00"/>
    <s v="9989011939"/>
    <s v="STARBIRD CHICKEN - PALO ALTO"/>
    <n v="4"/>
    <x v="5"/>
  </r>
  <r>
    <d v="2024-12-16T00:00:00"/>
    <s v="9989011939"/>
    <s v="STARBIRD CHICKEN - PALO ALTO"/>
    <n v="4"/>
    <x v="8"/>
  </r>
  <r>
    <d v="2024-12-16T00:00:00"/>
    <s v="9989011939"/>
    <s v="STARBIRD CHICKEN - PALO ALTO"/>
    <n v="3"/>
    <x v="12"/>
  </r>
  <r>
    <d v="2024-12-16T00:00:00"/>
    <s v="9989011939"/>
    <s v="STARBIRD CHICKEN - PALO ALTO"/>
    <n v="3"/>
    <x v="15"/>
  </r>
  <r>
    <d v="2024-12-16T00:00:00"/>
    <s v="9989011939"/>
    <s v="STARBIRD CHICKEN - PALO ALTO"/>
    <n v="2"/>
    <x v="23"/>
  </r>
  <r>
    <d v="2024-12-16T00:00:00"/>
    <s v="9989011939"/>
    <s v="STARBIRD CHICKEN - PALO ALTO"/>
    <n v="1"/>
    <x v="17"/>
  </r>
  <r>
    <d v="2024-12-16T00:00:00"/>
    <s v="9989011939"/>
    <s v="STARBIRD CHICKEN - PALO ALTO"/>
    <n v="2"/>
    <x v="10"/>
  </r>
  <r>
    <d v="2024-12-16T00:00:00"/>
    <s v="9989011939"/>
    <s v="STARBIRD CHICKEN - PALO ALTO"/>
    <n v="3"/>
    <x v="4"/>
  </r>
  <r>
    <d v="2024-12-16T00:00:00"/>
    <s v="9989011939"/>
    <s v="STARBIRD CHICKEN - PALO ALTO"/>
    <n v="3"/>
    <x v="1"/>
  </r>
  <r>
    <d v="2024-12-16T00:00:00"/>
    <s v="9989011939"/>
    <s v="STARBIRD CHICKEN - PALO ALTO"/>
    <n v="3"/>
    <x v="11"/>
  </r>
  <r>
    <d v="2024-12-16T00:00:00"/>
    <s v="9989011939"/>
    <s v="STARBIRD CHICKEN - PALO ALTO"/>
    <n v="3"/>
    <x v="3"/>
  </r>
  <r>
    <d v="2024-12-16T00:00:00"/>
    <s v="9989011940"/>
    <s v="U BAR"/>
    <n v="1"/>
    <x v="8"/>
  </r>
  <r>
    <d v="2024-12-17T00:00:00"/>
    <s v="9989011941"/>
    <s v="THE MELT (455 MARKET)"/>
    <n v="3"/>
    <x v="8"/>
  </r>
  <r>
    <d v="2024-12-17T00:00:00"/>
    <s v="9989011941"/>
    <s v="THE MELT (455 MARKET)"/>
    <n v="2"/>
    <x v="5"/>
  </r>
  <r>
    <d v="2024-12-17T00:00:00"/>
    <s v="9989011941"/>
    <s v="THE MELT (455 MARKET)"/>
    <n v="1"/>
    <x v="9"/>
  </r>
  <r>
    <d v="2024-12-17T00:00:00"/>
    <s v="9989011941"/>
    <s v="THE MELT (455 MARKET)"/>
    <n v="1"/>
    <x v="12"/>
  </r>
  <r>
    <d v="2024-12-17T00:00:00"/>
    <s v="9989011941"/>
    <s v="THE MELT (455 MARKET)"/>
    <n v="1"/>
    <x v="15"/>
  </r>
  <r>
    <d v="2024-12-17T00:00:00"/>
    <s v="9989011941"/>
    <s v="THE MELT (455 MARKET)"/>
    <n v="1"/>
    <x v="10"/>
  </r>
  <r>
    <d v="2024-12-17T00:00:00"/>
    <s v="9989011942"/>
    <s v="THE MELT (925 MARKET)"/>
    <n v="5"/>
    <x v="8"/>
  </r>
  <r>
    <d v="2024-12-17T00:00:00"/>
    <s v="9989011942"/>
    <s v="THE MELT (925 MARKET)"/>
    <n v="3"/>
    <x v="12"/>
  </r>
  <r>
    <d v="2024-12-17T00:00:00"/>
    <s v="9989011942"/>
    <s v="THE MELT (925 MARKET)"/>
    <n v="3"/>
    <x v="5"/>
  </r>
  <r>
    <d v="2024-12-17T00:00:00"/>
    <s v="9989011942"/>
    <s v="THE MELT (925 MARKET)"/>
    <n v="2"/>
    <x v="15"/>
  </r>
  <r>
    <d v="2024-12-17T00:00:00"/>
    <s v="9989011942"/>
    <s v="THE MELT (925 MARKET)"/>
    <n v="2"/>
    <x v="9"/>
  </r>
  <r>
    <d v="2024-12-17T00:00:00"/>
    <s v="9989011942"/>
    <s v="THE MELT (925 MARKET)"/>
    <n v="4"/>
    <x v="10"/>
  </r>
  <r>
    <d v="2024-12-17T00:00:00"/>
    <s v="9989011943"/>
    <s v="UCSF MEDICAL CENTER MISSION BAY"/>
    <n v="1"/>
    <x v="25"/>
  </r>
  <r>
    <d v="2024-12-17T00:00:00"/>
    <s v="9989011943"/>
    <s v="UCSF MEDICAL CENTER MISSION BAY"/>
    <n v="1"/>
    <x v="26"/>
  </r>
  <r>
    <d v="2024-12-17T00:00:00"/>
    <s v="9989011943"/>
    <s v="UCSF MEDICAL CENTER MISSION BAY"/>
    <n v="1"/>
    <x v="34"/>
  </r>
  <r>
    <d v="2024-12-17T00:00:00"/>
    <s v="9989011943"/>
    <s v="UCSF MEDICAL CENTER MISSION BAY"/>
    <n v="1"/>
    <x v="36"/>
  </r>
  <r>
    <d v="2024-12-17T00:00:00"/>
    <s v="9989011944"/>
    <s v="PIXAR ANIMATION STUDIOS"/>
    <n v="2"/>
    <x v="5"/>
  </r>
  <r>
    <d v="2024-12-17T00:00:00"/>
    <s v="9989011944"/>
    <s v="PIXAR ANIMATION STUDIOS"/>
    <n v="1"/>
    <x v="6"/>
  </r>
  <r>
    <d v="2024-12-17T00:00:00"/>
    <s v="9989011944"/>
    <s v="PIXAR ANIMATION STUDIOS"/>
    <n v="1"/>
    <x v="7"/>
  </r>
  <r>
    <d v="2024-12-17T00:00:00"/>
    <s v="9989011946"/>
    <s v="STARBIRD CHICKEN - SF CLOUD"/>
    <n v="2"/>
    <x v="11"/>
  </r>
  <r>
    <d v="2024-12-17T00:00:00"/>
    <s v="9989011946"/>
    <s v="STARBIRD CHICKEN - SF CLOUD"/>
    <n v="2"/>
    <x v="3"/>
  </r>
  <r>
    <d v="2024-12-17T00:00:00"/>
    <s v="9989011946"/>
    <s v="STARBIRD CHICKEN - SF CLOUD"/>
    <n v="2"/>
    <x v="4"/>
  </r>
  <r>
    <d v="2024-12-17T00:00:00"/>
    <s v="9989011946"/>
    <s v="STARBIRD CHICKEN - SF CLOUD"/>
    <n v="2"/>
    <x v="1"/>
  </r>
  <r>
    <d v="2024-12-17T00:00:00"/>
    <s v="9989011947"/>
    <s v="THE DEAD FISH"/>
    <n v="1"/>
    <x v="26"/>
  </r>
  <r>
    <d v="2024-12-17T00:00:00"/>
    <s v="9989011947"/>
    <s v="THE DEAD FISH"/>
    <n v="1"/>
    <x v="13"/>
  </r>
  <r>
    <d v="2024-12-17T00:00:00"/>
    <s v="9989011947"/>
    <s v="THE DEAD FISH"/>
    <n v="1"/>
    <x v="27"/>
  </r>
  <r>
    <d v="2024-12-17T00:00:00"/>
    <s v="9989011947"/>
    <s v="THE DEAD FISH"/>
    <n v="1"/>
    <x v="24"/>
  </r>
  <r>
    <d v="2024-12-17T00:00:00"/>
    <s v="9989011947"/>
    <s v="THE DEAD FISH"/>
    <n v="1"/>
    <x v="7"/>
  </r>
  <r>
    <d v="2024-12-17T00:00:00"/>
    <s v="9989011948"/>
    <s v="PIE PUNKS"/>
    <n v="1"/>
    <x v="26"/>
  </r>
  <r>
    <d v="2024-12-17T00:00:00"/>
    <s v="9989011948"/>
    <s v="PIE PUNKS"/>
    <n v="1"/>
    <x v="27"/>
  </r>
  <r>
    <d v="2024-12-17T00:00:00"/>
    <s v="9989011948"/>
    <s v="PIE PUNKS"/>
    <n v="2"/>
    <x v="13"/>
  </r>
  <r>
    <d v="2024-12-17T00:00:00"/>
    <s v="9989011949"/>
    <s v="DS GIANT BURGERS"/>
    <n v="2"/>
    <x v="8"/>
  </r>
  <r>
    <d v="2024-12-17T00:00:00"/>
    <s v="9989011949"/>
    <s v="DS GIANT BURGERS"/>
    <n v="1"/>
    <x v="7"/>
  </r>
  <r>
    <d v="2024-12-17T00:00:00"/>
    <s v="9989011949"/>
    <s v="DS GIANT BURGERS"/>
    <n v="1"/>
    <x v="15"/>
  </r>
  <r>
    <d v="2024-12-17T00:00:00"/>
    <s v="9989011949"/>
    <s v="DS GIANT BURGERS"/>
    <n v="1"/>
    <x v="5"/>
  </r>
  <r>
    <d v="2024-12-17T00:00:00"/>
    <s v="9989011949"/>
    <s v="DS GIANT BURGERS"/>
    <n v="1"/>
    <x v="20"/>
  </r>
  <r>
    <d v="2024-12-17T00:00:00"/>
    <s v="9989011949"/>
    <s v="DS GIANT BURGERS"/>
    <n v="1"/>
    <x v="1"/>
  </r>
  <r>
    <d v="2024-12-17T00:00:00"/>
    <s v="9989011949"/>
    <s v="DS GIANT BURGERS"/>
    <n v="1"/>
    <x v="3"/>
  </r>
  <r>
    <d v="2024-12-17T00:00:00"/>
    <s v="9989011949"/>
    <s v="DS GIANT BURGERS"/>
    <n v="1"/>
    <x v="4"/>
  </r>
  <r>
    <d v="2024-12-17T00:00:00"/>
    <s v="9989011951"/>
    <s v="THE FACTORY BAR"/>
    <n v="1"/>
    <x v="13"/>
  </r>
  <r>
    <d v="2024-12-17T00:00:00"/>
    <s v="9989011951"/>
    <s v="THE FACTORY BAR"/>
    <n v="1"/>
    <x v="18"/>
  </r>
  <r>
    <d v="2024-12-17T00:00:00"/>
    <s v="9989011952"/>
    <s v="SCOMAS RESTAURANT"/>
    <n v="1"/>
    <x v="5"/>
  </r>
  <r>
    <d v="2024-12-17T00:00:00"/>
    <s v="9989011952"/>
    <s v="SCOMAS RESTAURANT"/>
    <n v="1"/>
    <x v="8"/>
  </r>
  <r>
    <d v="2024-12-17T00:00:00"/>
    <s v="9989011952"/>
    <s v="SCOMAS RESTAURANT"/>
    <n v="1"/>
    <x v="12"/>
  </r>
  <r>
    <d v="2024-12-17T00:00:00"/>
    <s v="9989011953"/>
    <s v="BUDDHA LOUNGE"/>
    <n v="1"/>
    <x v="14"/>
  </r>
  <r>
    <d v="2024-12-17T00:00:00"/>
    <s v="9989011953"/>
    <s v="BUDDHA LOUNGE"/>
    <n v="1"/>
    <x v="12"/>
  </r>
  <r>
    <d v="2024-12-17T00:00:00"/>
    <s v="9989011954"/>
    <s v="POINT SAN PABLO YACHT CLUB"/>
    <n v="1"/>
    <x v="14"/>
  </r>
  <r>
    <d v="2024-12-17T00:00:00"/>
    <s v="9989011955"/>
    <s v="LARAS FINE DINING"/>
    <n v="3"/>
    <x v="8"/>
  </r>
  <r>
    <d v="2024-12-17T00:00:00"/>
    <s v="9989011955"/>
    <s v="LARAS FINE DINING"/>
    <n v="2"/>
    <x v="15"/>
  </r>
  <r>
    <d v="2024-12-17T00:00:00"/>
    <s v="9989011955"/>
    <s v="LARAS FINE DINING"/>
    <n v="1"/>
    <x v="12"/>
  </r>
  <r>
    <d v="2024-12-17T00:00:00"/>
    <s v="9989011955"/>
    <s v="LARAS FINE DINING"/>
    <n v="1"/>
    <x v="5"/>
  </r>
  <r>
    <d v="2024-12-17T00:00:00"/>
    <s v="9989011955"/>
    <s v="LARAS FINE DINING"/>
    <n v="1"/>
    <x v="19"/>
  </r>
  <r>
    <d v="2024-12-17T00:00:00"/>
    <s v="9989011955"/>
    <s v="LARAS FINE DINING"/>
    <n v="1"/>
    <x v="12"/>
  </r>
  <r>
    <d v="2024-12-17T00:00:00"/>
    <s v="9989011956"/>
    <s v="UCSF MEDICAL CENTER PARNASSUS"/>
    <n v="1"/>
    <x v="31"/>
  </r>
  <r>
    <d v="2024-12-17T00:00:00"/>
    <s v="9989011956"/>
    <s v="UCSF MEDICAL CENTER PARNASSUS"/>
    <n v="1"/>
    <x v="35"/>
  </r>
  <r>
    <d v="2024-12-17T00:00:00"/>
    <s v="9989011956"/>
    <s v="UCSF MEDICAL CENTER PARNASSUS"/>
    <n v="1"/>
    <x v="34"/>
  </r>
  <r>
    <d v="2024-12-17T00:00:00"/>
    <s v="9989011956"/>
    <s v="UCSF MEDICAL CENTER PARNASSUS"/>
    <n v="1"/>
    <x v="24"/>
  </r>
  <r>
    <d v="2024-12-17T00:00:00"/>
    <s v="9989011956"/>
    <s v="UCSF MEDICAL CENTER PARNASSUS"/>
    <n v="1"/>
    <x v="36"/>
  </r>
  <r>
    <d v="2024-12-17T00:00:00"/>
    <s v="9989011957"/>
    <s v="BARNEY MC BEARS LLC"/>
    <n v="1"/>
    <x v="12"/>
  </r>
  <r>
    <d v="2024-12-17T00:00:00"/>
    <s v="9989011958"/>
    <s v="CROWN BAR (LAMA BAR)"/>
    <n v="1"/>
    <x v="14"/>
  </r>
  <r>
    <d v="2024-12-17T00:00:00"/>
    <s v="9989011959"/>
    <s v="STARBIRD CHICKEN - HERMOSA BEACH"/>
    <n v="1"/>
    <x v="15"/>
  </r>
  <r>
    <d v="2024-12-17T00:00:00"/>
    <s v="9989011959"/>
    <s v="STARBIRD CHICKEN - HERMOSA BEACH"/>
    <n v="1"/>
    <x v="12"/>
  </r>
  <r>
    <d v="2024-12-17T00:00:00"/>
    <s v="9989011959"/>
    <s v="STARBIRD CHICKEN - HERMOSA BEACH"/>
    <n v="1"/>
    <x v="5"/>
  </r>
  <r>
    <d v="2024-12-17T00:00:00"/>
    <s v="9989011959"/>
    <s v="STARBIRD CHICKEN - HERMOSA BEACH"/>
    <n v="1"/>
    <x v="17"/>
  </r>
  <r>
    <d v="2024-12-17T00:00:00"/>
    <s v="9989011960"/>
    <s v="HOMEROOM - BERKELEY"/>
    <n v="2"/>
    <x v="12"/>
  </r>
  <r>
    <d v="2024-12-17T00:00:00"/>
    <s v="9989011960"/>
    <s v="HOMEROOM - BERKELEY"/>
    <n v="1"/>
    <x v="9"/>
  </r>
  <r>
    <d v="2024-12-17T00:00:00"/>
    <s v="9989011961"/>
    <s v="BERKELEY TAP HAUS"/>
    <n v="1"/>
    <x v="8"/>
  </r>
  <r>
    <d v="2024-12-17T00:00:00"/>
    <s v="9989011961"/>
    <s v="BERKELEY TAP HAUS"/>
    <n v="1"/>
    <x v="12"/>
  </r>
  <r>
    <d v="2024-12-17T00:00:00"/>
    <s v="9989011962"/>
    <s v="KONA CLUB"/>
    <n v="1"/>
    <x v="21"/>
  </r>
  <r>
    <d v="2024-12-17T00:00:00"/>
    <s v="9989011963"/>
    <s v="FACTION BREWING"/>
    <n v="6"/>
    <x v="4"/>
  </r>
  <r>
    <d v="2024-12-17T00:00:00"/>
    <s v="9989011963"/>
    <s v="FACTION BREWING"/>
    <n v="3"/>
    <x v="0"/>
  </r>
  <r>
    <d v="2024-12-17T00:00:00"/>
    <s v="9989011964"/>
    <s v="THE AVENUE"/>
    <n v="2"/>
    <x v="18"/>
  </r>
  <r>
    <d v="2024-12-17T00:00:00"/>
    <s v="9989011964"/>
    <s v="THE AVENUE"/>
    <n v="2"/>
    <x v="14"/>
  </r>
  <r>
    <d v="2024-12-17T00:00:00"/>
    <s v="9989011964"/>
    <s v="THE AVENUE"/>
    <n v="1"/>
    <x v="22"/>
  </r>
  <r>
    <d v="2024-12-17T00:00:00"/>
    <s v="9989011964"/>
    <s v="THE AVENUE"/>
    <n v="1"/>
    <x v="12"/>
  </r>
  <r>
    <d v="2024-12-17T00:00:00"/>
    <s v="9989011965"/>
    <s v="ARTHUR MAC'S LITTLE SNACK"/>
    <n v="3"/>
    <x v="8"/>
  </r>
  <r>
    <d v="2024-12-17T00:00:00"/>
    <s v="9989011965"/>
    <s v="ARTHUR MAC'S LITTLE SNACK"/>
    <n v="3"/>
    <x v="12"/>
  </r>
  <r>
    <d v="2024-12-17T00:00:00"/>
    <s v="9989011965"/>
    <s v="ARTHUR MAC'S LITTLE SNACK"/>
    <n v="2"/>
    <x v="5"/>
  </r>
  <r>
    <d v="2024-12-17T00:00:00"/>
    <s v="9989011965"/>
    <s v="ARTHUR MAC'S LITTLE SNACK"/>
    <n v="1"/>
    <x v="15"/>
  </r>
  <r>
    <d v="2024-12-17T00:00:00"/>
    <s v="9989011966"/>
    <s v="ALMANAC"/>
    <n v="8"/>
    <x v="4"/>
  </r>
  <r>
    <d v="2024-12-17T00:00:00"/>
    <s v="9989011966"/>
    <s v="ALMANAC"/>
    <n v="8"/>
    <x v="1"/>
  </r>
  <r>
    <d v="2024-12-17T00:00:00"/>
    <s v="9989011966"/>
    <s v="ALMANAC"/>
    <n v="5"/>
    <x v="20"/>
  </r>
  <r>
    <d v="2024-12-17T00:00:00"/>
    <s v="9989011966"/>
    <s v="ALMANAC"/>
    <n v="5"/>
    <x v="0"/>
  </r>
  <r>
    <d v="2024-12-17T00:00:00"/>
    <s v="9989011966"/>
    <s v="ALMANAC"/>
    <n v="5"/>
    <x v="3"/>
  </r>
  <r>
    <d v="2024-12-17T00:00:00"/>
    <s v="9989011966"/>
    <s v="ALMANAC"/>
    <n v="4"/>
    <x v="11"/>
  </r>
  <r>
    <d v="2024-12-17T00:00:00"/>
    <s v="9989011967"/>
    <s v="THE MELT (IRVINE SPECTRUM)"/>
    <n v="5"/>
    <x v="8"/>
  </r>
  <r>
    <d v="2024-12-17T00:00:00"/>
    <s v="9989011967"/>
    <s v="THE MELT (IRVINE SPECTRUM)"/>
    <n v="4"/>
    <x v="5"/>
  </r>
  <r>
    <d v="2024-12-17T00:00:00"/>
    <s v="9989011967"/>
    <s v="THE MELT (IRVINE SPECTRUM)"/>
    <n v="3"/>
    <x v="15"/>
  </r>
  <r>
    <d v="2024-12-17T00:00:00"/>
    <s v="9989011967"/>
    <s v="THE MELT (IRVINE SPECTRUM)"/>
    <n v="3"/>
    <x v="12"/>
  </r>
  <r>
    <d v="2024-12-17T00:00:00"/>
    <s v="9989011967"/>
    <s v="THE MELT (IRVINE SPECTRUM)"/>
    <n v="2"/>
    <x v="9"/>
  </r>
  <r>
    <d v="2024-12-17T00:00:00"/>
    <s v="9989011967"/>
    <s v="THE MELT (IRVINE SPECTRUM)"/>
    <n v="2"/>
    <x v="16"/>
  </r>
  <r>
    <d v="2024-12-18T00:00:00"/>
    <s v="9989011969"/>
    <s v="BEST WESTERN EL RANCHO INN"/>
    <n v="4"/>
    <x v="21"/>
  </r>
  <r>
    <d v="2024-12-18T00:00:00"/>
    <s v="9989011969"/>
    <s v="BEST WESTERN EL RANCHO INN"/>
    <n v="2"/>
    <x v="14"/>
  </r>
  <r>
    <d v="2024-12-18T00:00:00"/>
    <s v="9989011969"/>
    <s v="BEST WESTERN EL RANCHO INN"/>
    <n v="1"/>
    <x v="25"/>
  </r>
  <r>
    <d v="2024-12-18T00:00:00"/>
    <s v="9989011970"/>
    <s v="CAMINO'S"/>
    <n v="1"/>
    <x v="13"/>
  </r>
  <r>
    <d v="2024-12-18T00:00:00"/>
    <s v="9989011971"/>
    <s v="BRIX BEVERAGE - SAMPLING"/>
    <n v="2"/>
    <x v="11"/>
  </r>
  <r>
    <d v="2024-12-18T00:00:00"/>
    <s v="9989011972"/>
    <s v="STATE OF MIND PUBLIC HOUSE REDWOOD CITY"/>
    <n v="2"/>
    <x v="8"/>
  </r>
  <r>
    <d v="2024-12-18T00:00:00"/>
    <s v="9989011972"/>
    <s v="STATE OF MIND PUBLIC HOUSE REDWOOD CITY"/>
    <n v="1"/>
    <x v="15"/>
  </r>
  <r>
    <d v="2024-12-18T00:00:00"/>
    <s v="9989011972"/>
    <s v="STATE OF MIND PUBLIC HOUSE REDWOOD CITY"/>
    <n v="1"/>
    <x v="7"/>
  </r>
  <r>
    <d v="2024-12-18T00:00:00"/>
    <s v="9989011972"/>
    <s v="STATE OF MIND PUBLIC HOUSE REDWOOD CITY"/>
    <n v="1"/>
    <x v="9"/>
  </r>
  <r>
    <d v="2024-12-18T00:00:00"/>
    <s v="9989011973"/>
    <s v="STARBIRD CHICKEN - WALNUT CREEK"/>
    <n v="4"/>
    <x v="8"/>
  </r>
  <r>
    <d v="2024-12-18T00:00:00"/>
    <s v="9989011973"/>
    <s v="STARBIRD CHICKEN - WALNUT CREEK"/>
    <n v="3"/>
    <x v="5"/>
  </r>
  <r>
    <d v="2024-12-18T00:00:00"/>
    <s v="9989011973"/>
    <s v="STARBIRD CHICKEN - WALNUT CREEK"/>
    <n v="3"/>
    <x v="15"/>
  </r>
  <r>
    <d v="2024-12-18T00:00:00"/>
    <s v="9989011973"/>
    <s v="STARBIRD CHICKEN - WALNUT CREEK"/>
    <n v="1"/>
    <x v="12"/>
  </r>
  <r>
    <d v="2024-12-18T00:00:00"/>
    <s v="9989011973"/>
    <s v="STARBIRD CHICKEN - WALNUT CREEK"/>
    <n v="2"/>
    <x v="17"/>
  </r>
  <r>
    <d v="2024-12-18T00:00:00"/>
    <s v="9989011973"/>
    <s v="STARBIRD CHICKEN - WALNUT CREEK"/>
    <n v="1"/>
    <x v="23"/>
  </r>
  <r>
    <d v="2024-12-18T00:00:00"/>
    <s v="9989011973"/>
    <s v="STARBIRD CHICKEN - WALNUT CREEK"/>
    <n v="2"/>
    <x v="10"/>
  </r>
  <r>
    <d v="2024-12-18T00:00:00"/>
    <s v="9989011973"/>
    <s v="STARBIRD CHICKEN - WALNUT CREEK"/>
    <n v="1"/>
    <x v="11"/>
  </r>
  <r>
    <d v="2024-12-18T00:00:00"/>
    <s v="9989011973"/>
    <s v="STARBIRD CHICKEN - WALNUT CREEK"/>
    <n v="1"/>
    <x v="1"/>
  </r>
  <r>
    <d v="2024-12-18T00:00:00"/>
    <s v="9989011973"/>
    <s v="STARBIRD CHICKEN - WALNUT CREEK"/>
    <n v="1"/>
    <x v="4"/>
  </r>
  <r>
    <d v="2024-12-18T00:00:00"/>
    <s v="9989011973"/>
    <s v="STARBIRD CHICKEN - WALNUT CREEK"/>
    <n v="1"/>
    <x v="3"/>
  </r>
  <r>
    <d v="2024-12-18T00:00:00"/>
    <s v="9989011974"/>
    <s v="THE MELT (STANFORD)"/>
    <n v="2"/>
    <x v="8"/>
  </r>
  <r>
    <d v="2024-12-18T00:00:00"/>
    <s v="9989011974"/>
    <s v="THE MELT (STANFORD)"/>
    <n v="2"/>
    <x v="15"/>
  </r>
  <r>
    <d v="2024-12-18T00:00:00"/>
    <s v="9989011974"/>
    <s v="THE MELT (STANFORD)"/>
    <n v="2"/>
    <x v="12"/>
  </r>
  <r>
    <d v="2024-12-18T00:00:00"/>
    <s v="9989011974"/>
    <s v="THE MELT (STANFORD)"/>
    <n v="2"/>
    <x v="5"/>
  </r>
  <r>
    <d v="2024-12-18T00:00:00"/>
    <s v="9989011974"/>
    <s v="THE MELT (STANFORD)"/>
    <n v="1"/>
    <x v="9"/>
  </r>
  <r>
    <d v="2024-12-18T00:00:00"/>
    <s v="9989011974"/>
    <s v="THE MELT (STANFORD)"/>
    <n v="1"/>
    <x v="10"/>
  </r>
  <r>
    <d v="2024-12-18T00:00:00"/>
    <s v="9989011975"/>
    <s v="STATE OF MIND SLICE HOUSE  (PALO ALTO)"/>
    <n v="2"/>
    <x v="8"/>
  </r>
  <r>
    <d v="2024-12-18T00:00:00"/>
    <s v="9989011975"/>
    <s v="STATE OF MIND SLICE HOUSE  (PALO ALTO)"/>
    <n v="2"/>
    <x v="15"/>
  </r>
  <r>
    <d v="2024-12-18T00:00:00"/>
    <s v="9989011975"/>
    <s v="STATE OF MIND SLICE HOUSE  (PALO ALTO)"/>
    <n v="1"/>
    <x v="9"/>
  </r>
  <r>
    <d v="2024-12-18T00:00:00"/>
    <s v="9989011975"/>
    <s v="STATE OF MIND SLICE HOUSE  (PALO ALTO)"/>
    <n v="1"/>
    <x v="7"/>
  </r>
  <r>
    <d v="2024-12-18T00:00:00"/>
    <s v="9989011976"/>
    <s v="DELTA CINEMAS"/>
    <n v="1"/>
    <x v="26"/>
  </r>
  <r>
    <d v="2024-12-18T00:00:00"/>
    <s v="9989011976"/>
    <s v="DELTA CINEMAS"/>
    <n v="1"/>
    <x v="13"/>
  </r>
  <r>
    <d v="2024-12-18T00:00:00"/>
    <s v="9989011976"/>
    <s v="DELTA CINEMAS"/>
    <n v="1"/>
    <x v="27"/>
  </r>
  <r>
    <d v="2024-12-18T00:00:00"/>
    <s v="9989011976"/>
    <s v="DELTA CINEMAS"/>
    <n v="1"/>
    <x v="7"/>
  </r>
  <r>
    <d v="2024-12-18T00:00:00"/>
    <s v="9989011976"/>
    <s v="DELTA CINEMAS"/>
    <n v="1"/>
    <x v="5"/>
  </r>
  <r>
    <d v="2024-12-18T00:00:00"/>
    <s v="9989011976"/>
    <s v="DELTA CINEMAS"/>
    <n v="1"/>
    <x v="16"/>
  </r>
  <r>
    <d v="2024-12-18T00:00:00"/>
    <s v="9989011977"/>
    <s v="STATE OF MIND PUBLIC HOUSE &amp; PIZZERIA (LOS ALTOS)"/>
    <n v="2"/>
    <x v="8"/>
  </r>
  <r>
    <d v="2024-12-18T00:00:00"/>
    <s v="9989011977"/>
    <s v="STATE OF MIND PUBLIC HOUSE &amp; PIZZERIA (LOS ALTOS)"/>
    <n v="2"/>
    <x v="15"/>
  </r>
  <r>
    <d v="2024-12-18T00:00:00"/>
    <s v="9989011977"/>
    <s v="STATE OF MIND PUBLIC HOUSE &amp; PIZZERIA (LOS ALTOS)"/>
    <n v="1"/>
    <x v="7"/>
  </r>
  <r>
    <d v="2024-12-18T00:00:00"/>
    <s v="9989011977"/>
    <s v="STATE OF MIND PUBLIC HOUSE &amp; PIZZERIA (LOS ALTOS)"/>
    <n v="1"/>
    <x v="9"/>
  </r>
  <r>
    <d v="2024-12-18T00:00:00"/>
    <s v="9989011978"/>
    <s v="LIVERMORE CASINO"/>
    <n v="3"/>
    <x v="13"/>
  </r>
  <r>
    <d v="2024-12-18T00:00:00"/>
    <s v="9989011978"/>
    <s v="LIVERMORE CASINO"/>
    <n v="2"/>
    <x v="21"/>
  </r>
  <r>
    <d v="2024-12-18T00:00:00"/>
    <s v="9989011978"/>
    <s v="LIVERMORE CASINO"/>
    <n v="2"/>
    <x v="24"/>
  </r>
  <r>
    <d v="2024-12-18T00:00:00"/>
    <s v="9989011978"/>
    <s v="LIVERMORE CASINO"/>
    <n v="1"/>
    <x v="7"/>
  </r>
  <r>
    <d v="2024-12-18T00:00:00"/>
    <s v="9989011978"/>
    <s v="LIVERMORE CASINO"/>
    <n v="1"/>
    <x v="14"/>
  </r>
  <r>
    <d v="2024-12-18T00:00:00"/>
    <s v="9989011978"/>
    <s v="LIVERMORE CASINO"/>
    <n v="1"/>
    <x v="5"/>
  </r>
  <r>
    <d v="2024-12-18T00:00:00"/>
    <s v="9989011979"/>
    <s v="CALI KID BURGERS AND SHAKES"/>
    <n v="1"/>
    <x v="8"/>
  </r>
  <r>
    <d v="2024-12-18T00:00:00"/>
    <s v="9989011979"/>
    <s v="CALI KID BURGERS AND SHAKES"/>
    <n v="1"/>
    <x v="5"/>
  </r>
  <r>
    <d v="2024-12-18T00:00:00"/>
    <s v="9989011979"/>
    <s v="CALI KID BURGERS AND SHAKES"/>
    <n v="1"/>
    <x v="17"/>
  </r>
  <r>
    <d v="2024-12-18T00:00:00"/>
    <s v="9989011980"/>
    <s v="STARBIRD CHICKEN - PLEASANTON"/>
    <n v="1"/>
    <x v="8"/>
  </r>
  <r>
    <d v="2024-12-18T00:00:00"/>
    <s v="9989011980"/>
    <s v="STARBIRD CHICKEN - PLEASANTON"/>
    <n v="1"/>
    <x v="12"/>
  </r>
  <r>
    <d v="2024-12-18T00:00:00"/>
    <s v="9989011980"/>
    <s v="STARBIRD CHICKEN - PLEASANTON"/>
    <n v="1"/>
    <x v="5"/>
  </r>
  <r>
    <d v="2024-12-18T00:00:00"/>
    <s v="9989011980"/>
    <s v="STARBIRD CHICKEN - PLEASANTON"/>
    <n v="1"/>
    <x v="17"/>
  </r>
  <r>
    <d v="2024-12-18T00:00:00"/>
    <s v="9989011980"/>
    <s v="STARBIRD CHICKEN - PLEASANTON"/>
    <n v="1"/>
    <x v="1"/>
  </r>
  <r>
    <d v="2024-12-18T00:00:00"/>
    <s v="9989011981"/>
    <s v="MONTE CARLO"/>
    <n v="2"/>
    <x v="28"/>
  </r>
  <r>
    <d v="2024-12-18T00:00:00"/>
    <s v="9989011981"/>
    <s v="MONTE CARLO"/>
    <n v="2"/>
    <x v="14"/>
  </r>
  <r>
    <d v="2024-12-18T00:00:00"/>
    <s v="9989011981"/>
    <s v="MONTE CARLO"/>
    <n v="2"/>
    <x v="29"/>
  </r>
  <r>
    <d v="2024-12-18T00:00:00"/>
    <s v="9989011982"/>
    <s v="MY RADISH/BLOOM ENERGY"/>
    <n v="1"/>
    <x v="15"/>
  </r>
  <r>
    <d v="2024-12-18T00:00:00"/>
    <s v="9989011982"/>
    <s v="MY RADISH/BLOOM ENERGY"/>
    <n v="1"/>
    <x v="9"/>
  </r>
  <r>
    <d v="2024-12-18T00:00:00"/>
    <s v="9989011982"/>
    <s v="MY RADISH/BLOOM ENERGY"/>
    <n v="1"/>
    <x v="16"/>
  </r>
  <r>
    <d v="2024-12-18T00:00:00"/>
    <s v="9989011983"/>
    <s v="BOSCO'S ROADHOUSE"/>
    <n v="1"/>
    <x v="19"/>
  </r>
  <r>
    <d v="2024-12-18T00:00:00"/>
    <s v="9989011983"/>
    <s v="BOSCO'S ROADHOUSE"/>
    <n v="1"/>
    <x v="5"/>
  </r>
  <r>
    <d v="2024-12-18T00:00:00"/>
    <s v="9989011983"/>
    <s v="BOSCO'S ROADHOUSE"/>
    <n v="2"/>
    <x v="7"/>
  </r>
  <r>
    <d v="2024-12-18T00:00:00"/>
    <s v="9989011983"/>
    <s v="BOSCO'S ROADHOUSE"/>
    <n v="2"/>
    <x v="15"/>
  </r>
  <r>
    <d v="2024-12-18T00:00:00"/>
    <s v="9989011983"/>
    <s v="BOSCO'S ROADHOUSE"/>
    <n v="1"/>
    <x v="10"/>
  </r>
  <r>
    <d v="2024-12-18T00:00:00"/>
    <s v="9989011984"/>
    <s v="LUNA LOCA (JAINS FOODS)"/>
    <n v="2"/>
    <x v="8"/>
  </r>
  <r>
    <d v="2024-12-18T00:00:00"/>
    <s v="9989011984"/>
    <s v="LUNA LOCA (JAINS FOODS)"/>
    <n v="1"/>
    <x v="15"/>
  </r>
  <r>
    <d v="2024-12-18T00:00:00"/>
    <s v="9989011984"/>
    <s v="LUNA LOCA (JAINS FOODS)"/>
    <n v="1"/>
    <x v="12"/>
  </r>
  <r>
    <d v="2024-12-18T00:00:00"/>
    <s v="9989011985"/>
    <s v="DANVILLE BREWERY"/>
    <n v="1"/>
    <x v="17"/>
  </r>
  <r>
    <d v="2024-12-18T00:00:00"/>
    <s v="9989011985"/>
    <s v="DANVILLE BREWERY"/>
    <n v="1"/>
    <x v="5"/>
  </r>
  <r>
    <d v="2024-12-18T00:00:00"/>
    <s v="9989011986"/>
    <s v="THE MELT (DANVILLE)"/>
    <n v="1"/>
    <x v="16"/>
  </r>
  <r>
    <d v="2024-12-18T00:00:00"/>
    <s v="9989011986"/>
    <s v="THE MELT (DANVILLE)"/>
    <n v="2"/>
    <x v="8"/>
  </r>
  <r>
    <d v="2024-12-18T00:00:00"/>
    <s v="9989011986"/>
    <s v="THE MELT (DANVILLE)"/>
    <n v="1"/>
    <x v="15"/>
  </r>
  <r>
    <d v="2024-12-18T00:00:00"/>
    <s v="9989011986"/>
    <s v="THE MELT (DANVILLE)"/>
    <n v="1"/>
    <x v="5"/>
  </r>
  <r>
    <d v="2024-12-19T00:00:00"/>
    <s v="9989011987"/>
    <s v="YAFA HUMMUS"/>
    <n v="1"/>
    <x v="8"/>
  </r>
  <r>
    <d v="2024-12-19T00:00:00"/>
    <s v="9989011987"/>
    <s v="YAFA HUMMUS"/>
    <n v="1"/>
    <x v="15"/>
  </r>
  <r>
    <d v="2024-12-19T00:00:00"/>
    <s v="9989011987"/>
    <s v="YAFA HUMMUS"/>
    <n v="1"/>
    <x v="12"/>
  </r>
  <r>
    <d v="2024-12-19T00:00:00"/>
    <s v="9989011987"/>
    <s v="YAFA HUMMUS"/>
    <n v="1"/>
    <x v="5"/>
  </r>
  <r>
    <d v="2024-12-19T00:00:00"/>
    <s v="9989011987"/>
    <s v="YAFA HUMMUS"/>
    <n v="1"/>
    <x v="9"/>
  </r>
  <r>
    <d v="2024-12-19T00:00:00"/>
    <s v="9989011987"/>
    <s v="YAFA HUMMUS"/>
    <n v="1"/>
    <x v="17"/>
  </r>
  <r>
    <d v="2024-12-19T00:00:00"/>
    <s v="9989011987"/>
    <s v="YAFA HUMMUS"/>
    <n v="1"/>
    <x v="7"/>
  </r>
  <r>
    <d v="2024-12-19T00:00:00"/>
    <s v="9989011988"/>
    <s v="SLICE HOUSE"/>
    <n v="1"/>
    <x v="5"/>
  </r>
  <r>
    <d v="2024-12-19T00:00:00"/>
    <s v="9989011988"/>
    <s v="SLICE HOUSE"/>
    <n v="1"/>
    <x v="12"/>
  </r>
  <r>
    <d v="2024-12-19T00:00:00"/>
    <s v="9989011988"/>
    <s v="SLICE HOUSE"/>
    <n v="1"/>
    <x v="29"/>
  </r>
  <r>
    <d v="2024-12-19T00:00:00"/>
    <s v="9989011989"/>
    <s v="HONG KONG EAST OCEAN RESTAURANT"/>
    <n v="2"/>
    <x v="15"/>
  </r>
  <r>
    <d v="2024-12-19T00:00:00"/>
    <s v="9989011989"/>
    <s v="HONG KONG EAST OCEAN RESTAURANT"/>
    <n v="2"/>
    <x v="12"/>
  </r>
  <r>
    <d v="2024-12-19T00:00:00"/>
    <s v="9989011990"/>
    <s v="THE DIRTY BIRD LOUNGE LLC"/>
    <n v="2"/>
    <x v="10"/>
  </r>
  <r>
    <d v="2024-12-19T00:00:00"/>
    <s v="9989011990"/>
    <s v="THE DIRTY BIRD LOUNGE LLC"/>
    <n v="2"/>
    <x v="29"/>
  </r>
  <r>
    <d v="2024-12-19T00:00:00"/>
    <s v="9989011991"/>
    <s v="BOSCO'S ROADHOUSE"/>
    <n v="4"/>
    <x v="8"/>
  </r>
  <r>
    <d v="2024-12-19T00:00:00"/>
    <s v="9989011992"/>
    <s v="RED BARN LLC"/>
    <n v="5"/>
    <x v="25"/>
  </r>
  <r>
    <d v="2024-12-19T00:00:00"/>
    <s v="9989011993"/>
    <s v="RICK &amp; ROXY'S-DEL MAR"/>
    <n v="1"/>
    <x v="18"/>
  </r>
  <r>
    <d v="2024-12-19T00:00:00"/>
    <s v="9989011993"/>
    <s v="RICK &amp; ROXY'S-DEL MAR"/>
    <n v="1"/>
    <x v="14"/>
  </r>
  <r>
    <d v="2024-12-19T00:00:00"/>
    <s v="9989011993"/>
    <s v="RICK &amp; ROXY'S-DEL MAR"/>
    <n v="1"/>
    <x v="8"/>
  </r>
  <r>
    <d v="2024-12-19T00:00:00"/>
    <s v="9989011995"/>
    <s v="STRAITS SANTANA ROW"/>
    <n v="1"/>
    <x v="15"/>
  </r>
  <r>
    <d v="2024-12-19T00:00:00"/>
    <s v="9989011995"/>
    <s v="STRAITS SANTANA ROW"/>
    <n v="1"/>
    <x v="8"/>
  </r>
  <r>
    <d v="2024-12-19T00:00:00"/>
    <s v="9989011995"/>
    <s v="STRAITS SANTANA ROW"/>
    <n v="1"/>
    <x v="18"/>
  </r>
  <r>
    <d v="2024-12-19T00:00:00"/>
    <s v="9989011995"/>
    <s v="STRAITS SANTANA ROW"/>
    <n v="1"/>
    <x v="12"/>
  </r>
  <r>
    <d v="2024-12-19T00:00:00"/>
    <s v="9989011996"/>
    <s v="CITY NIGHTS"/>
    <n v="2"/>
    <x v="14"/>
  </r>
  <r>
    <d v="2024-12-19T00:00:00"/>
    <s v="9989011996"/>
    <s v="CITY NIGHTS"/>
    <n v="1"/>
    <x v="21"/>
  </r>
  <r>
    <d v="2024-12-19T00:00:00"/>
    <s v="9989011996"/>
    <s v="CITY NIGHTS"/>
    <n v="1"/>
    <x v="22"/>
  </r>
  <r>
    <d v="2024-12-19T00:00:00"/>
    <s v="9989011996"/>
    <s v="CITY NIGHTS"/>
    <n v="1"/>
    <x v="12"/>
  </r>
  <r>
    <d v="2024-12-19T00:00:00"/>
    <s v="9989011996"/>
    <s v="CITY NIGHTS"/>
    <n v="1"/>
    <x v="22"/>
  </r>
  <r>
    <d v="2024-12-19T00:00:00"/>
    <s v="9989011997"/>
    <s v="STARBIRD CHICKEN - CAMPBELL"/>
    <n v="3"/>
    <x v="15"/>
  </r>
  <r>
    <d v="2024-12-19T00:00:00"/>
    <s v="9989011997"/>
    <s v="STARBIRD CHICKEN - CAMPBELL"/>
    <n v="4"/>
    <x v="5"/>
  </r>
  <r>
    <d v="2024-12-19T00:00:00"/>
    <s v="9989011997"/>
    <s v="STARBIRD CHICKEN - CAMPBELL"/>
    <n v="3"/>
    <x v="17"/>
  </r>
  <r>
    <d v="2024-12-19T00:00:00"/>
    <s v="9989011997"/>
    <s v="STARBIRD CHICKEN - CAMPBELL"/>
    <n v="2"/>
    <x v="23"/>
  </r>
  <r>
    <d v="2024-12-19T00:00:00"/>
    <s v="9989011997"/>
    <s v="STARBIRD CHICKEN - CAMPBELL"/>
    <n v="2"/>
    <x v="12"/>
  </r>
  <r>
    <d v="2024-12-19T00:00:00"/>
    <s v="9989011997"/>
    <s v="STARBIRD CHICKEN - CAMPBELL"/>
    <n v="4"/>
    <x v="1"/>
  </r>
  <r>
    <d v="2024-12-19T00:00:00"/>
    <s v="9989011997"/>
    <s v="STARBIRD CHICKEN - CAMPBELL"/>
    <n v="3"/>
    <x v="4"/>
  </r>
  <r>
    <d v="2024-12-19T00:00:00"/>
    <s v="9989011999"/>
    <s v="BRONCO BILLY'S PIZZA PALACE FREMONT NILES"/>
    <n v="5"/>
    <x v="13"/>
  </r>
  <r>
    <d v="2024-12-19T00:00:00"/>
    <s v="9989011999"/>
    <s v="BRONCO BILLY'S PIZZA PALACE FREMONT NILES"/>
    <n v="1"/>
    <x v="26"/>
  </r>
  <r>
    <d v="2024-12-19T00:00:00"/>
    <s v="9989011999"/>
    <s v="BRONCO BILLY'S PIZZA PALACE FREMONT NILES"/>
    <n v="1"/>
    <x v="27"/>
  </r>
  <r>
    <d v="2024-12-19T00:00:00"/>
    <s v="9989011999"/>
    <s v="BRONCO BILLY'S PIZZA PALACE FREMONT NILES"/>
    <n v="4"/>
    <x v="5"/>
  </r>
  <r>
    <d v="2024-12-19T00:00:00"/>
    <s v="9989011999"/>
    <s v="BRONCO BILLY'S PIZZA PALACE FREMONT NILES"/>
    <n v="2"/>
    <x v="9"/>
  </r>
  <r>
    <d v="2024-12-19T00:00:00"/>
    <s v="9989011999"/>
    <s v="BRONCO BILLY'S PIZZA PALACE FREMONT NILES"/>
    <n v="2"/>
    <x v="17"/>
  </r>
  <r>
    <d v="2024-12-19T00:00:00"/>
    <s v="9989011999"/>
    <s v="BRONCO BILLY'S PIZZA PALACE FREMONT NILES"/>
    <n v="2"/>
    <x v="30"/>
  </r>
  <r>
    <d v="2024-12-19T00:00:00"/>
    <s v="9989011999"/>
    <s v="BRONCO BILLY'S PIZZA PALACE FREMONT NILES"/>
    <n v="2"/>
    <x v="7"/>
  </r>
  <r>
    <d v="2024-12-19T00:00:00"/>
    <s v="9989012000"/>
    <s v="MARTUNIS"/>
    <n v="1"/>
    <x v="15"/>
  </r>
  <r>
    <d v="2024-12-19T00:00:00"/>
    <s v="9989012000"/>
    <s v="MARTUNIS"/>
    <n v="1"/>
    <x v="12"/>
  </r>
  <r>
    <d v="2024-12-19T00:00:00"/>
    <s v="9989012000"/>
    <s v="MARTUNIS"/>
    <n v="1"/>
    <x v="19"/>
  </r>
  <r>
    <d v="2024-12-19T00:00:00"/>
    <s v="9989012000"/>
    <s v="MARTUNIS"/>
    <n v="1"/>
    <x v="14"/>
  </r>
  <r>
    <d v="2024-12-19T00:00:00"/>
    <s v="9989012001"/>
    <s v="BRONCO BILLYS HAYWARD"/>
    <n v="2"/>
    <x v="17"/>
  </r>
  <r>
    <d v="2024-12-19T00:00:00"/>
    <s v="9989012001"/>
    <s v="BRONCO BILLYS HAYWARD"/>
    <n v="2"/>
    <x v="9"/>
  </r>
  <r>
    <d v="2024-12-19T00:00:00"/>
    <s v="9989012001"/>
    <s v="BRONCO BILLYS HAYWARD"/>
    <n v="2"/>
    <x v="15"/>
  </r>
  <r>
    <d v="2024-12-19T00:00:00"/>
    <s v="9989012001"/>
    <s v="BRONCO BILLYS HAYWARD"/>
    <n v="2"/>
    <x v="8"/>
  </r>
  <r>
    <d v="2024-12-19T00:00:00"/>
    <s v="9989012001"/>
    <s v="BRONCO BILLYS HAYWARD"/>
    <n v="2"/>
    <x v="12"/>
  </r>
  <r>
    <d v="2024-12-19T00:00:00"/>
    <s v="9989012001"/>
    <s v="BRONCO BILLYS HAYWARD"/>
    <n v="2"/>
    <x v="30"/>
  </r>
  <r>
    <d v="2024-12-19T00:00:00"/>
    <s v="9989012001"/>
    <s v="BRONCO BILLYS HAYWARD"/>
    <n v="1"/>
    <x v="5"/>
  </r>
  <r>
    <d v="2024-12-19T00:00:00"/>
    <s v="9989012001"/>
    <s v="BRONCO BILLYS HAYWARD"/>
    <n v="1"/>
    <x v="7"/>
  </r>
  <r>
    <d v="2024-12-19T00:00:00"/>
    <s v="9989012003"/>
    <s v="TOP DOG #3 LAK"/>
    <n v="2"/>
    <x v="13"/>
  </r>
  <r>
    <d v="2024-12-19T00:00:00"/>
    <s v="9989012003"/>
    <s v="TOP DOG #3 LAK"/>
    <n v="1"/>
    <x v="26"/>
  </r>
  <r>
    <d v="2024-12-19T00:00:00"/>
    <s v="9989012003"/>
    <s v="TOP DOG #3 LAK"/>
    <n v="4"/>
    <x v="5"/>
  </r>
  <r>
    <d v="2024-12-19T00:00:00"/>
    <s v="9989012003"/>
    <s v="TOP DOG #3 LAK"/>
    <n v="1"/>
    <x v="29"/>
  </r>
  <r>
    <d v="2024-12-19T00:00:00"/>
    <s v="9989012004"/>
    <s v="HELLO STRANGER"/>
    <n v="1"/>
    <x v="13"/>
  </r>
  <r>
    <d v="2024-12-19T00:00:00"/>
    <s v="9989012004"/>
    <s v="HELLO STRANGER"/>
    <n v="1"/>
    <x v="28"/>
  </r>
  <r>
    <d v="2024-12-19T00:00:00"/>
    <s v="9989012004"/>
    <s v="HELLO STRANGER"/>
    <n v="1"/>
    <x v="14"/>
  </r>
  <r>
    <d v="2024-12-19T00:00:00"/>
    <s v="9989012005"/>
    <s v="MONROE"/>
    <n v="2"/>
    <x v="14"/>
  </r>
  <r>
    <d v="2024-12-19T00:00:00"/>
    <s v="9989012005"/>
    <s v="MONROE"/>
    <n v="1"/>
    <x v="28"/>
  </r>
  <r>
    <d v="2024-12-19T00:00:00"/>
    <s v="9989012006"/>
    <s v="THE MELT (DEL MAR)"/>
    <n v="3"/>
    <x v="16"/>
  </r>
  <r>
    <d v="2024-12-19T00:00:00"/>
    <s v="9989012006"/>
    <s v="THE MELT (DEL MAR)"/>
    <n v="3"/>
    <x v="5"/>
  </r>
  <r>
    <d v="2024-12-19T00:00:00"/>
    <s v="9989012006"/>
    <s v="THE MELT (DEL MAR)"/>
    <n v="2"/>
    <x v="8"/>
  </r>
  <r>
    <d v="2024-12-19T00:00:00"/>
    <s v="9989012006"/>
    <s v="THE MELT (DEL MAR)"/>
    <n v="1"/>
    <x v="15"/>
  </r>
  <r>
    <d v="2024-12-19T00:00:00"/>
    <s v="9989012006"/>
    <s v="THE MELT (DEL MAR)"/>
    <n v="1"/>
    <x v="10"/>
  </r>
  <r>
    <d v="2024-12-19T00:00:00"/>
    <s v="9989012006"/>
    <s v="THE MELT (DEL MAR)"/>
    <n v="1"/>
    <x v="12"/>
  </r>
  <r>
    <d v="2024-12-19T00:00:00"/>
    <s v="9989012006"/>
    <s v="THE MELT (DEL MAR)"/>
    <n v="1"/>
    <x v="9"/>
  </r>
  <r>
    <d v="2024-12-19T00:00:00"/>
    <s v="9989012007"/>
    <s v="THE MELT (GAS LAMP SAN DIEGO)"/>
    <n v="3"/>
    <x v="8"/>
  </r>
  <r>
    <d v="2024-12-19T00:00:00"/>
    <s v="9989012007"/>
    <s v="THE MELT (GAS LAMP SAN DIEGO)"/>
    <n v="2"/>
    <x v="16"/>
  </r>
  <r>
    <d v="2024-12-19T00:00:00"/>
    <s v="9989012007"/>
    <s v="THE MELT (GAS LAMP SAN DIEGO)"/>
    <n v="2"/>
    <x v="5"/>
  </r>
  <r>
    <d v="2024-12-19T00:00:00"/>
    <s v="9989012007"/>
    <s v="THE MELT (GAS LAMP SAN DIEGO)"/>
    <n v="1"/>
    <x v="15"/>
  </r>
  <r>
    <d v="2024-12-19T00:00:00"/>
    <s v="9989012007"/>
    <s v="THE MELT (GAS LAMP SAN DIEGO)"/>
    <n v="1"/>
    <x v="9"/>
  </r>
  <r>
    <d v="2024-12-19T00:00:00"/>
    <s v="9989012007"/>
    <s v="THE MELT (GAS LAMP SAN DIEGO)"/>
    <n v="2"/>
    <x v="10"/>
  </r>
  <r>
    <d v="2024-12-19T00:00:00"/>
    <s v="9989012008"/>
    <s v="THE MELT (LA JOLLA)"/>
    <n v="2"/>
    <x v="16"/>
  </r>
  <r>
    <d v="2024-12-19T00:00:00"/>
    <s v="9989012008"/>
    <s v="THE MELT (LA JOLLA)"/>
    <n v="2"/>
    <x v="8"/>
  </r>
  <r>
    <d v="2024-12-19T00:00:00"/>
    <s v="9989012008"/>
    <s v="THE MELT (LA JOLLA)"/>
    <n v="2"/>
    <x v="15"/>
  </r>
  <r>
    <d v="2024-12-19T00:00:00"/>
    <s v="9989012008"/>
    <s v="THE MELT (LA JOLLA)"/>
    <n v="1"/>
    <x v="10"/>
  </r>
  <r>
    <d v="2024-12-19T00:00:00"/>
    <s v="9989012008"/>
    <s v="THE MELT (LA JOLLA)"/>
    <n v="1"/>
    <x v="12"/>
  </r>
  <r>
    <d v="2024-12-19T00:00:00"/>
    <s v="9989012008"/>
    <s v="THE MELT (LA JOLLA)"/>
    <n v="2"/>
    <x v="9"/>
  </r>
  <r>
    <d v="2024-12-19T00:00:00"/>
    <s v="9989012008"/>
    <s v="THE MELT (LA JOLLA)"/>
    <n v="2"/>
    <x v="5"/>
  </r>
  <r>
    <d v="2024-12-19T00:00:00"/>
    <s v="9989012010"/>
    <s v="MOLOTOVS ( TWO NICKELS)"/>
    <n v="1"/>
    <x v="8"/>
  </r>
  <r>
    <d v="2024-12-19T00:00:00"/>
    <s v="9989012010"/>
    <s v="MOLOTOVS ( TWO NICKELS)"/>
    <n v="1"/>
    <x v="10"/>
  </r>
  <r>
    <d v="2024-12-19T00:00:00"/>
    <s v="9989012011"/>
    <s v="NEW PARISH BAR"/>
    <n v="1"/>
    <x v="22"/>
  </r>
  <r>
    <d v="2024-12-19T00:00:00"/>
    <s v="9989012011"/>
    <s v="NEW PARISH BAR"/>
    <n v="1"/>
    <x v="28"/>
  </r>
  <r>
    <d v="2024-12-19T00:00:00"/>
    <s v="9989012011"/>
    <s v="NEW PARISH BAR"/>
    <n v="1"/>
    <x v="21"/>
  </r>
  <r>
    <d v="2024-12-19T00:00:00"/>
    <s v="9989012011"/>
    <s v="NEW PARISH BAR"/>
    <n v="1"/>
    <x v="14"/>
  </r>
  <r>
    <d v="2024-12-19T00:00:00"/>
    <s v="9989012011"/>
    <s v="NEW PARISH BAR"/>
    <n v="1"/>
    <x v="12"/>
  </r>
  <r>
    <d v="2024-12-19T00:00:00"/>
    <s v="9989012011"/>
    <s v="NEW PARISH BAR"/>
    <n v="1"/>
    <x v="8"/>
  </r>
  <r>
    <d v="2024-12-19T00:00:00"/>
    <s v="9989012011"/>
    <s v="NEW PARISH BAR"/>
    <n v="1"/>
    <x v="10"/>
  </r>
  <r>
    <d v="2024-12-19T00:00:00"/>
    <s v="9989012011"/>
    <s v="NEW PARISH BAR"/>
    <n v="1"/>
    <x v="22"/>
  </r>
  <r>
    <d v="2024-12-19T00:00:00"/>
    <s v="9989012012"/>
    <s v="CALI KID BURGERS AND SHAKES"/>
    <n v="1"/>
    <x v="9"/>
  </r>
  <r>
    <d v="2024-12-20T00:00:00"/>
    <s v="9989012013"/>
    <s v="PIXAR ANIMATION STUDIOS"/>
    <n v="2"/>
    <x v="7"/>
  </r>
  <r>
    <d v="2024-12-20T00:00:00"/>
    <s v="9989012013"/>
    <s v="PIXAR ANIMATION STUDIOS"/>
    <n v="1"/>
    <x v="15"/>
  </r>
  <r>
    <d v="2024-12-20T00:00:00"/>
    <s v="9989012013"/>
    <s v="PIXAR ANIMATION STUDIOS"/>
    <n v="1"/>
    <x v="5"/>
  </r>
  <r>
    <d v="2024-12-20T00:00:00"/>
    <s v="9989012013"/>
    <s v="PIXAR ANIMATION STUDIOS"/>
    <n v="1"/>
    <x v="10"/>
  </r>
  <r>
    <d v="2024-12-20T00:00:00"/>
    <s v="9989012014"/>
    <s v="THE RED ONION - EL CERRITO"/>
    <n v="1"/>
    <x v="5"/>
  </r>
  <r>
    <d v="2024-12-20T00:00:00"/>
    <s v="9989012014"/>
    <s v="THE RED ONION - EL CERRITO"/>
    <n v="1"/>
    <x v="12"/>
  </r>
  <r>
    <d v="2024-12-20T00:00:00"/>
    <s v="9989012014"/>
    <s v="THE RED ONION - EL CERRITO"/>
    <n v="1"/>
    <x v="7"/>
  </r>
  <r>
    <d v="2024-12-20T00:00:00"/>
    <s v="9989012015"/>
    <s v="PICANTE"/>
    <n v="2"/>
    <x v="7"/>
  </r>
  <r>
    <d v="2024-12-20T00:00:00"/>
    <s v="9989012015"/>
    <s v="PICANTE"/>
    <n v="1"/>
    <x v="8"/>
  </r>
  <r>
    <d v="2024-12-20T00:00:00"/>
    <s v="9989012016"/>
    <s v="THE RANCHO SALOON"/>
    <n v="1"/>
    <x v="8"/>
  </r>
  <r>
    <d v="2024-12-20T00:00:00"/>
    <s v="9989012016"/>
    <s v="THE RANCHO SALOON"/>
    <n v="1"/>
    <x v="12"/>
  </r>
  <r>
    <d v="2024-12-20T00:00:00"/>
    <s v="9989012016"/>
    <s v="THE RANCHO SALOON"/>
    <n v="1"/>
    <x v="14"/>
  </r>
  <r>
    <d v="2024-12-20T00:00:00"/>
    <s v="9989012017"/>
    <s v="HOBNOB RESTAURANT"/>
    <n v="1"/>
    <x v="19"/>
  </r>
  <r>
    <d v="2024-12-20T00:00:00"/>
    <s v="9989012017"/>
    <s v="HOBNOB RESTAURANT"/>
    <n v="1"/>
    <x v="18"/>
  </r>
  <r>
    <d v="2024-12-20T00:00:00"/>
    <s v="9989012018"/>
    <s v="SCOLARIS ON PARK ST"/>
    <n v="6"/>
    <x v="1"/>
  </r>
  <r>
    <d v="2024-12-20T00:00:00"/>
    <s v="9989012018"/>
    <s v="SCOLARIS ON PARK ST"/>
    <n v="5"/>
    <x v="2"/>
  </r>
  <r>
    <d v="2024-12-20T00:00:00"/>
    <s v="9989012018"/>
    <s v="SCOLARIS ON PARK ST"/>
    <n v="4"/>
    <x v="4"/>
  </r>
  <r>
    <d v="2024-12-20T00:00:00"/>
    <s v="9989012018"/>
    <s v="SCOLARIS ON PARK ST"/>
    <n v="4"/>
    <x v="11"/>
  </r>
  <r>
    <d v="2024-12-20T00:00:00"/>
    <s v="9989012018"/>
    <s v="SCOLARIS ON PARK ST"/>
    <n v="2"/>
    <x v="3"/>
  </r>
  <r>
    <d v="2024-12-20T00:00:00"/>
    <s v="9989012019"/>
    <s v="PIZZERIA PAPPO"/>
    <n v="2"/>
    <x v="11"/>
  </r>
  <r>
    <d v="2024-12-20T00:00:00"/>
    <s v="9989012019"/>
    <s v="PIZZERIA PAPPO"/>
    <n v="2"/>
    <x v="1"/>
  </r>
  <r>
    <d v="2024-12-20T00:00:00"/>
    <s v="9989012019"/>
    <s v="PIZZERIA PAPPO"/>
    <n v="2"/>
    <x v="4"/>
  </r>
  <r>
    <d v="2024-12-20T00:00:00"/>
    <s v="9989012020"/>
    <s v="ENCINAL MARKET"/>
    <n v="1"/>
    <x v="20"/>
  </r>
  <r>
    <d v="2024-12-20T00:00:00"/>
    <s v="9989012020"/>
    <s v="ENCINAL MARKET"/>
    <n v="1"/>
    <x v="3"/>
  </r>
  <r>
    <d v="2024-12-20T00:00:00"/>
    <s v="9989012020"/>
    <s v="ENCINAL MARKET"/>
    <n v="1"/>
    <x v="11"/>
  </r>
  <r>
    <d v="2024-12-20T00:00:00"/>
    <s v="9989012020"/>
    <s v="ENCINAL MARKET"/>
    <n v="1"/>
    <x v="2"/>
  </r>
  <r>
    <d v="2024-12-20T00:00:00"/>
    <s v="9989012021"/>
    <s v="STARBIRD CHICKEN - SUNNYVALE"/>
    <n v="1"/>
    <x v="15"/>
  </r>
  <r>
    <d v="2024-12-20T00:00:00"/>
    <s v="9989012021"/>
    <s v="STARBIRD CHICKEN - SUNNYVALE"/>
    <n v="1"/>
    <x v="8"/>
  </r>
  <r>
    <d v="2024-12-20T00:00:00"/>
    <s v="9989012021"/>
    <s v="STARBIRD CHICKEN - SUNNYVALE"/>
    <n v="4"/>
    <x v="5"/>
  </r>
  <r>
    <d v="2024-12-20T00:00:00"/>
    <s v="9989012021"/>
    <s v="STARBIRD CHICKEN - SUNNYVALE"/>
    <n v="1"/>
    <x v="23"/>
  </r>
  <r>
    <d v="2024-12-20T00:00:00"/>
    <s v="9989012021"/>
    <s v="STARBIRD CHICKEN - SUNNYVALE"/>
    <n v="1"/>
    <x v="11"/>
  </r>
  <r>
    <d v="2024-12-20T00:00:00"/>
    <s v="9989012021"/>
    <s v="STARBIRD CHICKEN - SUNNYVALE"/>
    <n v="1"/>
    <x v="1"/>
  </r>
  <r>
    <d v="2024-12-20T00:00:00"/>
    <s v="9989012021"/>
    <s v="STARBIRD CHICKEN - SUNNYVALE"/>
    <n v="1"/>
    <x v="4"/>
  </r>
  <r>
    <d v="2024-12-20T00:00:00"/>
    <s v="9989012022"/>
    <s v="STARBIRD CHICKEN - CORTE MADERA"/>
    <n v="2"/>
    <x v="8"/>
  </r>
  <r>
    <d v="2024-12-20T00:00:00"/>
    <s v="9989012022"/>
    <s v="STARBIRD CHICKEN - CORTE MADERA"/>
    <n v="2"/>
    <x v="15"/>
  </r>
  <r>
    <d v="2024-12-20T00:00:00"/>
    <s v="9989012022"/>
    <s v="STARBIRD CHICKEN - CORTE MADERA"/>
    <n v="1"/>
    <x v="12"/>
  </r>
  <r>
    <d v="2024-12-20T00:00:00"/>
    <s v="9989012022"/>
    <s v="STARBIRD CHICKEN - CORTE MADERA"/>
    <n v="2"/>
    <x v="17"/>
  </r>
  <r>
    <d v="2024-12-20T00:00:00"/>
    <s v="9989012022"/>
    <s v="STARBIRD CHICKEN - CORTE MADERA"/>
    <n v="2"/>
    <x v="23"/>
  </r>
  <r>
    <d v="2024-12-20T00:00:00"/>
    <s v="9989012022"/>
    <s v="STARBIRD CHICKEN - CORTE MADERA"/>
    <n v="1"/>
    <x v="5"/>
  </r>
  <r>
    <d v="2024-12-20T00:00:00"/>
    <s v="9989012022"/>
    <s v="STARBIRD CHICKEN - CORTE MADERA"/>
    <n v="2"/>
    <x v="10"/>
  </r>
  <r>
    <d v="2024-12-20T00:00:00"/>
    <s v="9989012022"/>
    <s v="STARBIRD CHICKEN - CORTE MADERA"/>
    <n v="2"/>
    <x v="1"/>
  </r>
  <r>
    <d v="2024-12-20T00:00:00"/>
    <s v="9989012022"/>
    <s v="STARBIRD CHICKEN - CORTE MADERA"/>
    <n v="1"/>
    <x v="11"/>
  </r>
  <r>
    <d v="2024-12-20T00:00:00"/>
    <s v="9989012022"/>
    <s v="STARBIRD CHICKEN - CORTE MADERA"/>
    <n v="2"/>
    <x v="4"/>
  </r>
  <r>
    <d v="2024-12-20T00:00:00"/>
    <s v="9989012022"/>
    <s v="STARBIRD CHICKEN - CORTE MADERA"/>
    <n v="3"/>
    <x v="3"/>
  </r>
  <r>
    <d v="2024-12-20T00:00:00"/>
    <s v="9989012023"/>
    <s v="OVER THE HILL GANG"/>
    <n v="1"/>
    <x v="8"/>
  </r>
  <r>
    <d v="2024-12-20T00:00:00"/>
    <s v="9989012023"/>
    <s v="OVER THE HILL GANG"/>
    <n v="1"/>
    <x v="12"/>
  </r>
  <r>
    <d v="2024-12-20T00:00:00"/>
    <s v="9989012023"/>
    <s v="OVER THE HILL GANG"/>
    <n v="1"/>
    <x v="19"/>
  </r>
  <r>
    <d v="2024-12-20T00:00:00"/>
    <s v="9989012024"/>
    <s v="HAMPTON INN ALAMEDA"/>
    <n v="1"/>
    <x v="8"/>
  </r>
  <r>
    <d v="2024-12-20T00:00:00"/>
    <s v="9989012024"/>
    <s v="HAMPTON INN ALAMEDA"/>
    <n v="1"/>
    <x v="15"/>
  </r>
  <r>
    <d v="2024-12-20T00:00:00"/>
    <s v="9989012024"/>
    <s v="HAMPTON INN ALAMEDA"/>
    <n v="1"/>
    <x v="10"/>
  </r>
  <r>
    <d v="2024-12-20T00:00:00"/>
    <s v="9989012024"/>
    <s v="HAMPTON INN ALAMEDA"/>
    <n v="1"/>
    <x v="5"/>
  </r>
  <r>
    <d v="2024-12-20T00:00:00"/>
    <s v="9989012024"/>
    <s v="HAMPTON INN ALAMEDA"/>
    <n v="1"/>
    <x v="18"/>
  </r>
  <r>
    <d v="2024-12-20T00:00:00"/>
    <s v="9989012025"/>
    <s v="LAS PALMAS"/>
    <n v="1"/>
    <x v="26"/>
  </r>
  <r>
    <d v="2024-12-20T00:00:00"/>
    <s v="9989012025"/>
    <s v="LAS PALMAS"/>
    <n v="1"/>
    <x v="13"/>
  </r>
  <r>
    <d v="2024-12-20T00:00:00"/>
    <s v="9989012025"/>
    <s v="LAS PALMAS"/>
    <n v="1"/>
    <x v="27"/>
  </r>
  <r>
    <d v="2024-12-20T00:00:00"/>
    <s v="9989012025"/>
    <s v="LAS PALMAS"/>
    <n v="1"/>
    <x v="5"/>
  </r>
  <r>
    <d v="2024-12-20T00:00:00"/>
    <s v="9989012026"/>
    <s v="RED BARN LLC"/>
    <n v="1"/>
    <x v="8"/>
  </r>
  <r>
    <d v="2024-12-20T00:00:00"/>
    <s v="9989012027"/>
    <s v="WINTERS TAVERN"/>
    <n v="1"/>
    <x v="26"/>
  </r>
  <r>
    <d v="2024-12-20T00:00:00"/>
    <s v="9989012027"/>
    <s v="WINTERS TAVERN"/>
    <n v="1"/>
    <x v="13"/>
  </r>
  <r>
    <d v="2024-12-20T00:00:00"/>
    <s v="9989012027"/>
    <s v="WINTERS TAVERN"/>
    <n v="1"/>
    <x v="27"/>
  </r>
  <r>
    <d v="2024-12-20T00:00:00"/>
    <s v="9989012027"/>
    <s v="WINTERS TAVERN"/>
    <n v="1"/>
    <x v="18"/>
  </r>
  <r>
    <d v="2024-12-20T00:00:00"/>
    <s v="9989012027"/>
    <s v="WINTERS TAVERN"/>
    <n v="1"/>
    <x v="19"/>
  </r>
  <r>
    <d v="2024-12-20T00:00:00"/>
    <s v="9989012027"/>
    <s v="WINTERS TAVERN"/>
    <n v="1"/>
    <x v="14"/>
  </r>
  <r>
    <d v="2024-12-20T00:00:00"/>
    <s v="9989012028"/>
    <s v="BLUE LAGOON"/>
    <n v="1"/>
    <x v="28"/>
  </r>
  <r>
    <d v="2024-12-20T00:00:00"/>
    <s v="9989012028"/>
    <s v="BLUE LAGOON"/>
    <n v="1"/>
    <x v="21"/>
  </r>
  <r>
    <d v="2024-12-20T00:00:00"/>
    <s v="9989012028"/>
    <s v="BLUE LAGOON"/>
    <n v="1"/>
    <x v="22"/>
  </r>
  <r>
    <d v="2024-12-20T00:00:00"/>
    <s v="9989012028"/>
    <s v="BLUE LAGOON"/>
    <n v="1"/>
    <x v="15"/>
  </r>
  <r>
    <d v="2024-12-20T00:00:00"/>
    <s v="9989012029"/>
    <s v="THE JURY ROOM"/>
    <n v="1"/>
    <x v="8"/>
  </r>
  <r>
    <d v="2024-12-20T00:00:00"/>
    <s v="9989012029"/>
    <s v="THE JURY ROOM"/>
    <n v="1"/>
    <x v="12"/>
  </r>
  <r>
    <d v="2024-12-20T00:00:00"/>
    <s v="9989012029"/>
    <s v="THE JURY ROOM"/>
    <n v="1"/>
    <x v="14"/>
  </r>
  <r>
    <d v="2024-12-20T00:00:00"/>
    <s v="9989012030"/>
    <s v="5 SPICE KTCHEN"/>
    <n v="1"/>
    <x v="8"/>
  </r>
  <r>
    <d v="2024-12-20T00:00:00"/>
    <s v="9989012031"/>
    <s v="EL TENAMPA"/>
    <n v="3"/>
    <x v="28"/>
  </r>
  <r>
    <d v="2024-12-20T00:00:00"/>
    <s v="9989012031"/>
    <s v="EL TENAMPA"/>
    <n v="1"/>
    <x v="14"/>
  </r>
  <r>
    <d v="2024-12-20T00:00:00"/>
    <s v="9989012032"/>
    <s v="MCNALLY'S"/>
    <n v="1"/>
    <x v="8"/>
  </r>
  <r>
    <d v="2024-12-20T00:00:00"/>
    <s v="9989012032"/>
    <s v="MCNALLY'S"/>
    <n v="3"/>
    <x v="4"/>
  </r>
  <r>
    <d v="2024-12-20T00:00:00"/>
    <s v="9989012033"/>
    <s v="GRAND LAKE THEATER"/>
    <n v="6"/>
    <x v="8"/>
  </r>
  <r>
    <d v="2024-12-20T00:00:00"/>
    <s v="9989012033"/>
    <s v="GRAND LAKE THEATER"/>
    <n v="3"/>
    <x v="5"/>
  </r>
  <r>
    <d v="2024-12-20T00:00:00"/>
    <s v="9989012033"/>
    <s v="GRAND LAKE THEATER"/>
    <n v="2"/>
    <x v="15"/>
  </r>
  <r>
    <d v="2024-12-20T00:00:00"/>
    <s v="9989012033"/>
    <s v="GRAND LAKE THEATER"/>
    <n v="2"/>
    <x v="7"/>
  </r>
  <r>
    <d v="2024-12-20T00:00:00"/>
    <s v="9989012033"/>
    <s v="GRAND LAKE THEATER"/>
    <n v="3"/>
    <x v="10"/>
  </r>
  <r>
    <d v="2024-12-23T00:00:00"/>
    <s v="9989012034"/>
    <s v="EAGLES LODGE #609"/>
    <n v="1"/>
    <x v="27"/>
  </r>
  <r>
    <d v="2024-12-23T00:00:00"/>
    <s v="9989012035"/>
    <s v="ELKS LODGE ALAMEDA"/>
    <n v="2"/>
    <x v="12"/>
  </r>
  <r>
    <d v="2024-12-23T00:00:00"/>
    <s v="9989012035"/>
    <s v="ELKS LODGE ALAMEDA"/>
    <n v="2"/>
    <x v="8"/>
  </r>
  <r>
    <d v="2024-12-23T00:00:00"/>
    <s v="9989012035"/>
    <s v="ELKS LODGE ALAMEDA"/>
    <n v="2"/>
    <x v="15"/>
  </r>
  <r>
    <d v="2024-12-23T00:00:00"/>
    <s v="9989012035"/>
    <s v="ELKS LODGE ALAMEDA"/>
    <n v="3"/>
    <x v="18"/>
  </r>
  <r>
    <d v="2024-12-24T00:00:00"/>
    <s v="9989012036"/>
    <s v="ISLAND SAVOY MARKET"/>
    <n v="3"/>
    <x v="1"/>
  </r>
  <r>
    <d v="2024-12-24T00:00:00"/>
    <s v="9989012036"/>
    <s v="ISLAND SAVOY MARKET"/>
    <n v="2"/>
    <x v="20"/>
  </r>
  <r>
    <d v="2024-12-24T00:00:00"/>
    <s v="9989012036"/>
    <s v="ISLAND SAVOY MARKET"/>
    <n v="1"/>
    <x v="4"/>
  </r>
  <r>
    <d v="2024-12-24T00:00:00"/>
    <s v="9989012037"/>
    <s v="LITTLE STAR SOLANO"/>
    <n v="2"/>
    <x v="12"/>
  </r>
  <r>
    <d v="2024-12-24T00:00:00"/>
    <s v="9989012037"/>
    <s v="LITTLE STAR SOLANO"/>
    <n v="1"/>
    <x v="8"/>
  </r>
  <r>
    <d v="2024-12-24T00:00:00"/>
    <s v="9989012037"/>
    <s v="LITTLE STAR SOLANO"/>
    <n v="1"/>
    <x v="10"/>
  </r>
  <r>
    <d v="2024-12-24T00:00:00"/>
    <s v="9989012038"/>
    <s v="HOMEROOM - OAKLAND"/>
    <n v="2"/>
    <x v="8"/>
  </r>
  <r>
    <d v="2024-12-24T00:00:00"/>
    <s v="9989012038"/>
    <s v="HOMEROOM - OAKLAND"/>
    <n v="1"/>
    <x v="15"/>
  </r>
  <r>
    <d v="2024-12-24T00:00:00"/>
    <s v="9989012038"/>
    <s v="HOMEROOM - OAKLAND"/>
    <n v="2"/>
    <x v="9"/>
  </r>
  <r>
    <d v="2024-12-24T00:00:00"/>
    <s v="9989012038"/>
    <s v="HOMEROOM - OAKLAND"/>
    <n v="3"/>
    <x v="5"/>
  </r>
  <r>
    <d v="2024-12-24T00:00:00"/>
    <s v="9989012038"/>
    <s v="HOMEROOM - OAKLAND"/>
    <n v="2"/>
    <x v="12"/>
  </r>
  <r>
    <d v="2024-12-24T00:00:00"/>
    <s v="9989012039"/>
    <s v="THE DEAD FISH"/>
    <n v="1"/>
    <x v="26"/>
  </r>
  <r>
    <d v="2024-12-24T00:00:00"/>
    <s v="9989012039"/>
    <s v="THE DEAD FISH"/>
    <n v="1"/>
    <x v="13"/>
  </r>
  <r>
    <d v="2024-12-24T00:00:00"/>
    <s v="9989012039"/>
    <s v="THE DEAD FISH"/>
    <n v="1"/>
    <x v="27"/>
  </r>
  <r>
    <d v="2024-12-24T00:00:00"/>
    <s v="9989012039"/>
    <s v="THE DEAD FISH"/>
    <n v="1"/>
    <x v="24"/>
  </r>
  <r>
    <d v="2024-12-24T00:00:00"/>
    <s v="9989012039"/>
    <s v="THE DEAD FISH"/>
    <n v="1"/>
    <x v="7"/>
  </r>
  <r>
    <d v="2024-12-24T00:00:00"/>
    <s v="9989012040"/>
    <s v="SCOLARIS ON PARK ST"/>
    <n v="7"/>
    <x v="1"/>
  </r>
  <r>
    <d v="2024-12-24T00:00:00"/>
    <s v="9989012040"/>
    <s v="SCOLARIS ON PARK ST"/>
    <n v="6"/>
    <x v="4"/>
  </r>
  <r>
    <d v="2024-12-24T00:00:00"/>
    <s v="9989012040"/>
    <s v="SCOLARIS ON PARK ST"/>
    <n v="5"/>
    <x v="11"/>
  </r>
  <r>
    <d v="2024-12-24T00:00:00"/>
    <s v="9989012040"/>
    <s v="SCOLARIS ON PARK ST"/>
    <n v="5"/>
    <x v="2"/>
  </r>
  <r>
    <d v="2024-12-24T00:00:00"/>
    <s v="9989012040"/>
    <s v="SCOLARIS ON PARK ST"/>
    <n v="4"/>
    <x v="3"/>
  </r>
  <r>
    <d v="2024-12-24T00:00:00"/>
    <s v="9989012041"/>
    <s v="JUANS PLACE"/>
    <n v="2"/>
    <x v="13"/>
  </r>
  <r>
    <d v="2024-12-24T00:00:00"/>
    <s v="9989012041"/>
    <s v="JUANS PLACE"/>
    <n v="1"/>
    <x v="9"/>
  </r>
  <r>
    <d v="2024-12-24T00:00:00"/>
    <s v="9989012042"/>
    <s v="EDS PLACE"/>
    <n v="2"/>
    <x v="8"/>
  </r>
  <r>
    <d v="2024-12-24T00:00:00"/>
    <s v="9989012043"/>
    <s v="THE NEW PARKWAY"/>
    <n v="2"/>
    <x v="8"/>
  </r>
  <r>
    <d v="2024-12-24T00:00:00"/>
    <s v="9989012043"/>
    <s v="THE NEW PARKWAY"/>
    <n v="2"/>
    <x v="5"/>
  </r>
  <r>
    <d v="2024-12-24T00:00:00"/>
    <s v="9989012043"/>
    <s v="THE NEW PARKWAY"/>
    <n v="1"/>
    <x v="9"/>
  </r>
  <r>
    <d v="2024-12-24T00:00:00"/>
    <s v="9989012044"/>
    <s v="ACME BAR &amp; COMPANY"/>
    <n v="1"/>
    <x v="8"/>
  </r>
  <r>
    <d v="2024-12-24T00:00:00"/>
    <s v="9989012045"/>
    <s v="THE ALLEY"/>
    <n v="1"/>
    <x v="8"/>
  </r>
  <r>
    <d v="2024-12-24T00:00:00"/>
    <s v="9989012045"/>
    <s v="THE ALLEY"/>
    <n v="1"/>
    <x v="15"/>
  </r>
  <r>
    <d v="2024-12-24T00:00:00"/>
    <s v="9989012045"/>
    <s v="THE ALLEY"/>
    <n v="1"/>
    <x v="18"/>
  </r>
  <r>
    <d v="2024-12-24T00:00:00"/>
    <s v="9989012045"/>
    <s v="THE ALLEY"/>
    <n v="1"/>
    <x v="12"/>
  </r>
  <r>
    <d v="2024-12-24T00:00:00"/>
    <s v="9989012046"/>
    <s v="RADIO-LITTLE BIRD"/>
    <n v="1"/>
    <x v="15"/>
  </r>
  <r>
    <d v="2024-12-26T00:00:00"/>
    <s v="9989012047"/>
    <s v="THE DEAD FISH"/>
    <n v="2"/>
    <x v="14"/>
  </r>
  <r>
    <d v="2024-12-26T00:00:00"/>
    <s v="9989012047"/>
    <s v="THE DEAD FISH"/>
    <n v="2"/>
    <x v="19"/>
  </r>
  <r>
    <d v="2024-12-26T00:00:00"/>
    <s v="9989012048"/>
    <s v="THE MELT (STANFORD)"/>
    <n v="3"/>
    <x v="8"/>
  </r>
  <r>
    <d v="2024-12-26T00:00:00"/>
    <s v="9989012048"/>
    <s v="THE MELT (STANFORD)"/>
    <n v="2"/>
    <x v="15"/>
  </r>
  <r>
    <d v="2024-12-26T00:00:00"/>
    <s v="9989012048"/>
    <s v="THE MELT (STANFORD)"/>
    <n v="2"/>
    <x v="5"/>
  </r>
  <r>
    <d v="2024-12-26T00:00:00"/>
    <s v="9989012048"/>
    <s v="THE MELT (STANFORD)"/>
    <n v="1"/>
    <x v="12"/>
  </r>
  <r>
    <d v="2024-12-26T00:00:00"/>
    <s v="9989012048"/>
    <s v="THE MELT (STANFORD)"/>
    <n v="2"/>
    <x v="10"/>
  </r>
  <r>
    <d v="2024-12-26T00:00:00"/>
    <s v="9989012050"/>
    <s v="PAUL &amp; EDDIES &amp; ASSOCIATES"/>
    <n v="1"/>
    <x v="14"/>
  </r>
  <r>
    <d v="2024-12-26T00:00:00"/>
    <s v="9989012050"/>
    <s v="PAUL &amp; EDDIES &amp; ASSOCIATES"/>
    <n v="1"/>
    <x v="8"/>
  </r>
  <r>
    <d v="2024-12-26T00:00:00"/>
    <s v="9989012051"/>
    <s v="MONTE CARLO"/>
    <n v="3"/>
    <x v="28"/>
  </r>
  <r>
    <d v="2024-12-26T00:00:00"/>
    <s v="9989012051"/>
    <s v="MONTE CARLO"/>
    <n v="1"/>
    <x v="14"/>
  </r>
  <r>
    <d v="2024-12-26T00:00:00"/>
    <s v="9989012052"/>
    <s v="ELKS LODGE SF #3"/>
    <n v="2"/>
    <x v="19"/>
  </r>
  <r>
    <d v="2024-12-26T00:00:00"/>
    <s v="9989012052"/>
    <s v="ELKS LODGE SF #3"/>
    <n v="1"/>
    <x v="8"/>
  </r>
  <r>
    <d v="2024-12-26T00:00:00"/>
    <s v="9989012053"/>
    <s v="STARBIRD CHICKEN-CUPERTINO"/>
    <n v="1"/>
    <x v="8"/>
  </r>
  <r>
    <d v="2024-12-26T00:00:00"/>
    <s v="9989012053"/>
    <s v="STARBIRD CHICKEN-CUPERTINO"/>
    <n v="1"/>
    <x v="15"/>
  </r>
  <r>
    <d v="2024-12-26T00:00:00"/>
    <s v="9989012053"/>
    <s v="STARBIRD CHICKEN-CUPERTINO"/>
    <n v="1"/>
    <x v="12"/>
  </r>
  <r>
    <d v="2024-12-26T00:00:00"/>
    <s v="9989012053"/>
    <s v="STARBIRD CHICKEN-CUPERTINO"/>
    <n v="1"/>
    <x v="5"/>
  </r>
  <r>
    <d v="2024-12-26T00:00:00"/>
    <s v="9989012053"/>
    <s v="STARBIRD CHICKEN-CUPERTINO"/>
    <n v="1"/>
    <x v="10"/>
  </r>
  <r>
    <d v="2024-12-26T00:00:00"/>
    <s v="9989012053"/>
    <s v="STARBIRD CHICKEN-CUPERTINO"/>
    <n v="1"/>
    <x v="11"/>
  </r>
  <r>
    <d v="2024-12-26T00:00:00"/>
    <s v="9989012053"/>
    <s v="STARBIRD CHICKEN-CUPERTINO"/>
    <n v="1"/>
    <x v="1"/>
  </r>
  <r>
    <d v="2024-12-26T00:00:00"/>
    <s v="9989012053"/>
    <s v="STARBIRD CHICKEN-CUPERTINO"/>
    <n v="2"/>
    <x v="3"/>
  </r>
  <r>
    <d v="2024-12-26T00:00:00"/>
    <s v="9989012053"/>
    <s v="STARBIRD CHICKEN-CUPERTINO"/>
    <n v="1"/>
    <x v="4"/>
  </r>
  <r>
    <d v="2024-12-26T00:00:00"/>
    <s v="9989012054"/>
    <s v="CENOTE"/>
    <n v="2"/>
    <x v="15"/>
  </r>
  <r>
    <d v="2024-12-26T00:00:00"/>
    <s v="9989012054"/>
    <s v="CENOTE"/>
    <n v="1"/>
    <x v="8"/>
  </r>
  <r>
    <d v="2024-12-26T00:00:00"/>
    <s v="9989012056"/>
    <s v="CALI KID BURGERS AND SHAKES"/>
    <n v="3"/>
    <x v="8"/>
  </r>
  <r>
    <d v="2024-12-26T00:00:00"/>
    <s v="9989012056"/>
    <s v="CALI KID BURGERS AND SHAKES"/>
    <n v="2"/>
    <x v="15"/>
  </r>
  <r>
    <d v="2024-12-26T00:00:00"/>
    <s v="9989012056"/>
    <s v="CALI KID BURGERS AND SHAKES"/>
    <n v="2"/>
    <x v="17"/>
  </r>
  <r>
    <d v="2024-12-26T00:00:00"/>
    <s v="9989012056"/>
    <s v="CALI KID BURGERS AND SHAKES"/>
    <n v="1"/>
    <x v="12"/>
  </r>
  <r>
    <d v="2024-12-26T00:00:00"/>
    <s v="9989012056"/>
    <s v="CALI KID BURGERS AND SHAKES"/>
    <n v="1"/>
    <x v="9"/>
  </r>
  <r>
    <d v="2024-12-26T00:00:00"/>
    <s v="9989012056"/>
    <s v="CALI KID BURGERS AND SHAKES"/>
    <n v="1"/>
    <x v="6"/>
  </r>
  <r>
    <d v="2024-12-26T00:00:00"/>
    <s v="9989012056"/>
    <s v="CALI KID BURGERS AND SHAKES"/>
    <n v="1"/>
    <x v="10"/>
  </r>
  <r>
    <d v="2024-12-26T00:00:00"/>
    <s v="9989012057"/>
    <s v="STARBIRD CHICKEN - SAN JOSE"/>
    <n v="2"/>
    <x v="8"/>
  </r>
  <r>
    <d v="2024-12-26T00:00:00"/>
    <s v="9989012057"/>
    <s v="STARBIRD CHICKEN - SAN JOSE"/>
    <n v="2"/>
    <x v="17"/>
  </r>
  <r>
    <d v="2024-12-26T00:00:00"/>
    <s v="9989012057"/>
    <s v="STARBIRD CHICKEN - SAN JOSE"/>
    <n v="1"/>
    <x v="15"/>
  </r>
  <r>
    <d v="2024-12-26T00:00:00"/>
    <s v="9989012057"/>
    <s v="STARBIRD CHICKEN - SAN JOSE"/>
    <n v="1"/>
    <x v="12"/>
  </r>
  <r>
    <d v="2024-12-26T00:00:00"/>
    <s v="9989012057"/>
    <s v="STARBIRD CHICKEN - SAN JOSE"/>
    <n v="1"/>
    <x v="5"/>
  </r>
  <r>
    <d v="2024-12-26T00:00:00"/>
    <s v="9989012057"/>
    <s v="STARBIRD CHICKEN - SAN JOSE"/>
    <n v="1"/>
    <x v="10"/>
  </r>
  <r>
    <d v="2024-12-26T00:00:00"/>
    <s v="9989012057"/>
    <s v="STARBIRD CHICKEN - SAN JOSE"/>
    <n v="3"/>
    <x v="1"/>
  </r>
  <r>
    <d v="2024-12-26T00:00:00"/>
    <s v="9989012057"/>
    <s v="STARBIRD CHICKEN - SAN JOSE"/>
    <n v="2"/>
    <x v="11"/>
  </r>
  <r>
    <d v="2024-12-26T00:00:00"/>
    <s v="9989012057"/>
    <s v="STARBIRD CHICKEN - SAN JOSE"/>
    <n v="2"/>
    <x v="3"/>
  </r>
  <r>
    <d v="2024-12-26T00:00:00"/>
    <s v="9989012057"/>
    <s v="STARBIRD CHICKEN - SAN JOSE"/>
    <n v="1"/>
    <x v="4"/>
  </r>
  <r>
    <d v="2024-12-26T00:00:00"/>
    <s v="9989012058"/>
    <s v="BALBOA THEATER"/>
    <n v="1"/>
    <x v="13"/>
  </r>
  <r>
    <d v="2024-12-26T00:00:00"/>
    <s v="9989012058"/>
    <s v="BALBOA THEATER"/>
    <n v="1"/>
    <x v="15"/>
  </r>
  <r>
    <d v="2024-12-26T00:00:00"/>
    <s v="9989012058"/>
    <s v="BALBOA THEATER"/>
    <n v="1"/>
    <x v="5"/>
  </r>
  <r>
    <d v="2024-12-26T00:00:00"/>
    <s v="9989012059"/>
    <s v="UNION STREET ALE HOUSE"/>
    <n v="1"/>
    <x v="18"/>
  </r>
  <r>
    <d v="2024-12-26T00:00:00"/>
    <s v="9989012059"/>
    <s v="UNION STREET ALE HOUSE"/>
    <n v="1"/>
    <x v="8"/>
  </r>
  <r>
    <d v="2024-12-26T00:00:00"/>
    <s v="9989012059"/>
    <s v="UNION STREET ALE HOUSE"/>
    <n v="1"/>
    <x v="14"/>
  </r>
  <r>
    <d v="2024-12-26T00:00:00"/>
    <s v="9989012060"/>
    <s v="THE MELT (SANTA CLARA 0045)"/>
    <n v="2"/>
    <x v="16"/>
  </r>
  <r>
    <d v="2024-12-26T00:00:00"/>
    <s v="9989012060"/>
    <s v="THE MELT (SANTA CLARA 0045)"/>
    <n v="2"/>
    <x v="5"/>
  </r>
  <r>
    <d v="2024-12-26T00:00:00"/>
    <s v="9989012060"/>
    <s v="THE MELT (SANTA CLARA 0045)"/>
    <n v="1"/>
    <x v="15"/>
  </r>
  <r>
    <d v="2024-12-26T00:00:00"/>
    <s v="9989012060"/>
    <s v="THE MELT (SANTA CLARA 0045)"/>
    <n v="1"/>
    <x v="12"/>
  </r>
  <r>
    <d v="2024-12-26T00:00:00"/>
    <s v="9989012060"/>
    <s v="THE MELT (SANTA CLARA 0045)"/>
    <n v="1"/>
    <x v="8"/>
  </r>
  <r>
    <d v="2024-12-26T00:00:00"/>
    <s v="9989012060"/>
    <s v="THE MELT (SANTA CLARA 0045)"/>
    <n v="1"/>
    <x v="10"/>
  </r>
  <r>
    <d v="2024-12-26T00:00:00"/>
    <s v="9989012061"/>
    <s v="THE MELT (7TH @ FIG)"/>
    <n v="2"/>
    <x v="16"/>
  </r>
  <r>
    <d v="2024-12-26T00:00:00"/>
    <s v="9989012061"/>
    <s v="THE MELT (7TH @ FIG)"/>
    <n v="1"/>
    <x v="8"/>
  </r>
  <r>
    <d v="2024-12-26T00:00:00"/>
    <s v="9989012061"/>
    <s v="THE MELT (7TH @ FIG)"/>
    <n v="1"/>
    <x v="12"/>
  </r>
  <r>
    <d v="2024-12-26T00:00:00"/>
    <s v="9989012061"/>
    <s v="THE MELT (7TH @ FIG)"/>
    <n v="1"/>
    <x v="12"/>
  </r>
  <r>
    <d v="2024-12-26T00:00:00"/>
    <s v="9989012061"/>
    <s v="THE MELT (7TH @ FIG)"/>
    <n v="1"/>
    <x v="9"/>
  </r>
  <r>
    <d v="2024-12-26T00:00:00"/>
    <s v="9989012062"/>
    <s v="STARBIRD CHICKEN - MARINA DEL REY"/>
    <n v="1"/>
    <x v="23"/>
  </r>
  <r>
    <d v="2024-12-26T00:00:00"/>
    <s v="9989012062"/>
    <s v="STARBIRD CHICKEN - MARINA DEL REY"/>
    <n v="2"/>
    <x v="10"/>
  </r>
  <r>
    <d v="2024-12-26T00:00:00"/>
    <s v="9989012062"/>
    <s v="STARBIRD CHICKEN - MARINA DEL REY"/>
    <n v="1"/>
    <x v="17"/>
  </r>
  <r>
    <d v="2024-12-26T00:00:00"/>
    <s v="9989012062"/>
    <s v="STARBIRD CHICKEN - MARINA DEL REY"/>
    <n v="1"/>
    <x v="11"/>
  </r>
  <r>
    <d v="2024-12-26T00:00:00"/>
    <s v="9989012062"/>
    <s v="STARBIRD CHICKEN - MARINA DEL REY"/>
    <n v="1"/>
    <x v="1"/>
  </r>
  <r>
    <d v="2024-12-26T00:00:00"/>
    <s v="9989012062"/>
    <s v="STARBIRD CHICKEN - MARINA DEL REY"/>
    <n v="1"/>
    <x v="3"/>
  </r>
  <r>
    <d v="2024-12-26T00:00:00"/>
    <s v="9989012062"/>
    <s v="STARBIRD CHICKEN - MARINA DEL REY"/>
    <n v="1"/>
    <x v="4"/>
  </r>
  <r>
    <d v="2024-12-26T00:00:00"/>
    <s v="9989012063"/>
    <s v="TOP DOG #3 LAK"/>
    <n v="2"/>
    <x v="13"/>
  </r>
  <r>
    <d v="2024-12-26T00:00:00"/>
    <s v="9989012063"/>
    <s v="TOP DOG #3 LAK"/>
    <n v="1"/>
    <x v="26"/>
  </r>
  <r>
    <d v="2024-12-26T00:00:00"/>
    <s v="9989012063"/>
    <s v="TOP DOG #3 LAK"/>
    <n v="3"/>
    <x v="5"/>
  </r>
  <r>
    <d v="2024-12-26T00:00:00"/>
    <s v="9989012063"/>
    <s v="TOP DOG #3 LAK"/>
    <n v="1"/>
    <x v="7"/>
  </r>
  <r>
    <d v="2024-12-26T00:00:00"/>
    <s v="9989012064"/>
    <s v="STARBIRD CHICKEN - PLEASANTON"/>
    <n v="3"/>
    <x v="8"/>
  </r>
  <r>
    <d v="2024-12-26T00:00:00"/>
    <s v="9989012064"/>
    <s v="STARBIRD CHICKEN - PLEASANTON"/>
    <n v="2"/>
    <x v="15"/>
  </r>
  <r>
    <d v="2024-12-26T00:00:00"/>
    <s v="9989012064"/>
    <s v="STARBIRD CHICKEN - PLEASANTON"/>
    <n v="1"/>
    <x v="12"/>
  </r>
  <r>
    <d v="2024-12-26T00:00:00"/>
    <s v="9989012064"/>
    <s v="STARBIRD CHICKEN - PLEASANTON"/>
    <n v="1"/>
    <x v="5"/>
  </r>
  <r>
    <d v="2024-12-26T00:00:00"/>
    <s v="9989012064"/>
    <s v="STARBIRD CHICKEN - PLEASANTON"/>
    <n v="1"/>
    <x v="23"/>
  </r>
  <r>
    <d v="2024-12-26T00:00:00"/>
    <s v="9989012064"/>
    <s v="STARBIRD CHICKEN - PLEASANTON"/>
    <n v="1"/>
    <x v="17"/>
  </r>
  <r>
    <d v="2024-12-26T00:00:00"/>
    <s v="9989012064"/>
    <s v="STARBIRD CHICKEN - PLEASANTON"/>
    <n v="1"/>
    <x v="10"/>
  </r>
  <r>
    <d v="2024-12-26T00:00:00"/>
    <s v="9989012064"/>
    <s v="STARBIRD CHICKEN - PLEASANTON"/>
    <n v="1"/>
    <x v="1"/>
  </r>
  <r>
    <d v="2024-12-26T00:00:00"/>
    <s v="9989012064"/>
    <s v="STARBIRD CHICKEN - PLEASANTON"/>
    <n v="1"/>
    <x v="4"/>
  </r>
  <r>
    <d v="2024-12-26T00:00:00"/>
    <s v="9989012065"/>
    <s v="LUCKY 13"/>
    <n v="1"/>
    <x v="8"/>
  </r>
  <r>
    <d v="2024-12-26T00:00:00"/>
    <s v="9989012065"/>
    <s v="LUCKY 13"/>
    <n v="1"/>
    <x v="14"/>
  </r>
  <r>
    <d v="2024-12-26T00:00:00"/>
    <s v="9989012065"/>
    <s v="LUCKY 13"/>
    <n v="1"/>
    <x v="10"/>
  </r>
  <r>
    <d v="2024-12-26T00:00:00"/>
    <s v="9989012066"/>
    <s v="AVIATION ROOFTOP BAR AND KITCHEN"/>
    <n v="2"/>
    <x v="8"/>
  </r>
  <r>
    <d v="2024-12-26T00:00:00"/>
    <s v="9989012066"/>
    <s v="AVIATION ROOFTOP BAR AND KITCHEN"/>
    <n v="2"/>
    <x v="10"/>
  </r>
  <r>
    <d v="2024-12-26T00:00:00"/>
    <s v="9989012066"/>
    <s v="AVIATION ROOFTOP BAR AND KITCHEN"/>
    <n v="1"/>
    <x v="12"/>
  </r>
  <r>
    <d v="2024-12-26T00:00:00"/>
    <s v="9989012067"/>
    <s v="THE MELT (WEST HOLLYWOOD)"/>
    <n v="1"/>
    <x v="16"/>
  </r>
  <r>
    <d v="2024-12-26T00:00:00"/>
    <s v="9989012067"/>
    <s v="THE MELT (WEST HOLLYWOOD)"/>
    <n v="1"/>
    <x v="8"/>
  </r>
  <r>
    <d v="2024-12-26T00:00:00"/>
    <s v="9989012067"/>
    <s v="THE MELT (WEST HOLLYWOOD)"/>
    <n v="1"/>
    <x v="15"/>
  </r>
  <r>
    <d v="2024-12-26T00:00:00"/>
    <s v="9989012067"/>
    <s v="THE MELT (WEST HOLLYWOOD)"/>
    <n v="1"/>
    <x v="10"/>
  </r>
  <r>
    <d v="2024-12-26T00:00:00"/>
    <s v="9989012067"/>
    <s v="THE MELT (WEST HOLLYWOOD)"/>
    <n v="1"/>
    <x v="5"/>
  </r>
  <r>
    <d v="2024-12-26T00:00:00"/>
    <s v="9989012068"/>
    <s v="STARBIRD CHICKEN - FAIRFAX"/>
    <n v="1"/>
    <x v="8"/>
  </r>
  <r>
    <d v="2024-12-26T00:00:00"/>
    <s v="9989012068"/>
    <s v="STARBIRD CHICKEN - FAIRFAX"/>
    <n v="2"/>
    <x v="15"/>
  </r>
  <r>
    <d v="2024-12-26T00:00:00"/>
    <s v="9989012068"/>
    <s v="STARBIRD CHICKEN - FAIRFAX"/>
    <n v="1"/>
    <x v="12"/>
  </r>
  <r>
    <d v="2024-12-26T00:00:00"/>
    <s v="9989012068"/>
    <s v="STARBIRD CHICKEN - FAIRFAX"/>
    <n v="1"/>
    <x v="1"/>
  </r>
  <r>
    <d v="2024-12-26T00:00:00"/>
    <s v="9989012070"/>
    <s v="DANVILLE BREWERY"/>
    <n v="1"/>
    <x v="27"/>
  </r>
  <r>
    <d v="2024-12-26T00:00:00"/>
    <s v="9989012070"/>
    <s v="DANVILLE BREWERY"/>
    <n v="1"/>
    <x v="26"/>
  </r>
  <r>
    <d v="2024-12-26T00:00:00"/>
    <s v="9989012070"/>
    <s v="DANVILLE BREWERY"/>
    <n v="1"/>
    <x v="10"/>
  </r>
  <r>
    <d v="2024-12-27T00:00:00"/>
    <s v="9989012071"/>
    <s v="GATHER"/>
    <n v="3"/>
    <x v="1"/>
  </r>
  <r>
    <d v="2024-12-27T00:00:00"/>
    <s v="9989012071"/>
    <s v="GATHER"/>
    <n v="2"/>
    <x v="11"/>
  </r>
  <r>
    <d v="2024-12-27T00:00:00"/>
    <s v="9989012072"/>
    <s v="BRIX BEVERAGE - SAMPLING"/>
    <n v="1"/>
    <x v="4"/>
  </r>
  <r>
    <d v="2024-12-27T00:00:00"/>
    <s v="9989012072"/>
    <s v="BRIX BEVERAGE - SAMPLING"/>
    <n v="1"/>
    <x v="2"/>
  </r>
  <r>
    <d v="2024-12-27T00:00:00"/>
    <s v="9989012072"/>
    <s v="BRIX BEVERAGE - SAMPLING"/>
    <n v="1"/>
    <x v="1"/>
  </r>
  <r>
    <d v="2024-12-27T00:00:00"/>
    <s v="9989012073"/>
    <s v="BREWSTERS BEER GARDEN LLC"/>
    <n v="2"/>
    <x v="8"/>
  </r>
  <r>
    <d v="2024-12-27T00:00:00"/>
    <s v="9989012073"/>
    <s v="BREWSTERS BEER GARDEN LLC"/>
    <n v="3"/>
    <x v="12"/>
  </r>
  <r>
    <d v="2024-12-27T00:00:00"/>
    <s v="9989012073"/>
    <s v="BREWSTERS BEER GARDEN LLC"/>
    <n v="1"/>
    <x v="14"/>
  </r>
  <r>
    <d v="2024-12-27T00:00:00"/>
    <s v="9989012073"/>
    <s v="BREWSTERS BEER GARDEN LLC"/>
    <n v="2"/>
    <x v="10"/>
  </r>
  <r>
    <d v="2024-12-27T00:00:00"/>
    <s v="9989012074"/>
    <s v="THE MELT (SUNNYVALE #0043)"/>
    <n v="1"/>
    <x v="16"/>
  </r>
  <r>
    <d v="2024-12-27T00:00:00"/>
    <s v="9989012074"/>
    <s v="THE MELT (SUNNYVALE #0043)"/>
    <n v="1"/>
    <x v="15"/>
  </r>
  <r>
    <d v="2024-12-27T00:00:00"/>
    <s v="9989012074"/>
    <s v="THE MELT (SUNNYVALE #0043)"/>
    <n v="1"/>
    <x v="10"/>
  </r>
  <r>
    <d v="2024-12-27T00:00:00"/>
    <s v="9989012074"/>
    <s v="THE MELT (SUNNYVALE #0043)"/>
    <n v="2"/>
    <x v="9"/>
  </r>
  <r>
    <d v="2024-12-27T00:00:00"/>
    <s v="9989012075"/>
    <s v="PHILOMENA PIZZA"/>
    <n v="1"/>
    <x v="8"/>
  </r>
  <r>
    <d v="2024-12-27T00:00:00"/>
    <s v="9989012075"/>
    <s v="PHILOMENA PIZZA"/>
    <n v="1"/>
    <x v="7"/>
  </r>
  <r>
    <d v="2024-12-27T00:00:00"/>
    <s v="9989012075"/>
    <s v="PHILOMENA PIZZA"/>
    <n v="1"/>
    <x v="12"/>
  </r>
  <r>
    <d v="2024-12-27T00:00:00"/>
    <s v="9989012076"/>
    <s v="LA TOQUE/BANK CAFE"/>
    <n v="1"/>
    <x v="15"/>
  </r>
  <r>
    <d v="2024-12-27T00:00:00"/>
    <s v="9989012076"/>
    <s v="LA TOQUE/BANK CAFE"/>
    <n v="1"/>
    <x v="8"/>
  </r>
  <r>
    <d v="2024-12-27T00:00:00"/>
    <s v="9989012077"/>
    <s v="GOLD RUSH EATERY"/>
    <n v="1"/>
    <x v="26"/>
  </r>
  <r>
    <d v="2024-12-27T00:00:00"/>
    <s v="9989012077"/>
    <s v="GOLD RUSH EATERY"/>
    <n v="1"/>
    <x v="27"/>
  </r>
  <r>
    <d v="2024-12-27T00:00:00"/>
    <s v="9989012077"/>
    <s v="GOLD RUSH EATERY"/>
    <n v="1"/>
    <x v="13"/>
  </r>
  <r>
    <d v="2024-12-27T00:00:00"/>
    <s v="9989012077"/>
    <s v="GOLD RUSH EATERY"/>
    <n v="2"/>
    <x v="17"/>
  </r>
  <r>
    <d v="2024-12-27T00:00:00"/>
    <s v="9989012077"/>
    <s v="GOLD RUSH EATERY"/>
    <n v="2"/>
    <x v="9"/>
  </r>
  <r>
    <d v="2024-12-27T00:00:00"/>
    <s v="9989012077"/>
    <s v="GOLD RUSH EATERY"/>
    <n v="1"/>
    <x v="24"/>
  </r>
  <r>
    <d v="2024-12-27T00:00:00"/>
    <s v="9989012077"/>
    <s v="GOLD RUSH EATERY"/>
    <n v="3"/>
    <x v="3"/>
  </r>
  <r>
    <d v="2024-12-27T00:00:00"/>
    <s v="9989012077"/>
    <s v="GOLD RUSH EATERY"/>
    <n v="1"/>
    <x v="2"/>
  </r>
  <r>
    <d v="2024-12-27T00:00:00"/>
    <s v="9989012077"/>
    <s v="GOLD RUSH EATERY"/>
    <n v="1"/>
    <x v="4"/>
  </r>
  <r>
    <d v="2024-12-27T00:00:00"/>
    <s v="9989012077"/>
    <s v="GOLD RUSH EATERY"/>
    <n v="1"/>
    <x v="0"/>
  </r>
  <r>
    <d v="2024-12-27T00:00:00"/>
    <s v="9989012078"/>
    <s v="THE FACTORY BAR"/>
    <n v="1"/>
    <x v="12"/>
  </r>
  <r>
    <d v="2024-12-27T00:00:00"/>
    <s v="9989012079"/>
    <s v="THE STORK CLUB"/>
    <n v="2"/>
    <x v="8"/>
  </r>
  <r>
    <d v="2024-12-27T00:00:00"/>
    <s v="9989012079"/>
    <s v="THE STORK CLUB"/>
    <n v="1"/>
    <x v="18"/>
  </r>
  <r>
    <d v="2024-12-27T00:00:00"/>
    <s v="9989012079"/>
    <s v="THE STORK CLUB"/>
    <n v="1"/>
    <x v="19"/>
  </r>
  <r>
    <d v="2024-12-27T00:00:00"/>
    <s v="9989012079"/>
    <s v="THE STORK CLUB"/>
    <n v="1"/>
    <x v="12"/>
  </r>
  <r>
    <d v="2024-12-27T00:00:00"/>
    <s v="9989012080"/>
    <s v="HEADLANDS BREWING - LAFAYETTE"/>
    <n v="1"/>
    <x v="8"/>
  </r>
  <r>
    <d v="2024-12-27T00:00:00"/>
    <s v="9989012080"/>
    <s v="HEADLANDS BREWING - LAFAYETTE"/>
    <n v="1"/>
    <x v="15"/>
  </r>
  <r>
    <d v="2024-12-27T00:00:00"/>
    <s v="9989012080"/>
    <s v="HEADLANDS BREWING - LAFAYETTE"/>
    <n v="1"/>
    <x v="5"/>
  </r>
  <r>
    <d v="2024-12-27T00:00:00"/>
    <s v="9989012080"/>
    <s v="HEADLANDS BREWING - LAFAYETTE"/>
    <n v="1"/>
    <x v="12"/>
  </r>
  <r>
    <d v="2024-12-30T00:00:00"/>
    <s v="9989012081"/>
    <s v="HEADLANDS BREWING - WALNUT CREEK"/>
    <n v="1"/>
    <x v="8"/>
  </r>
  <r>
    <d v="2024-12-30T00:00:00"/>
    <s v="9989012081"/>
    <s v="HEADLANDS BREWING - WALNUT CREEK"/>
    <n v="1"/>
    <x v="10"/>
  </r>
  <r>
    <d v="2024-12-30T00:00:00"/>
    <s v="9989012081"/>
    <s v="HEADLANDS BREWING - WALNUT CREEK"/>
    <n v="1"/>
    <x v="24"/>
  </r>
  <r>
    <d v="2024-12-30T00:00:00"/>
    <s v="9989012082"/>
    <s v="STARBIRD CHICKEN-CUPERTINO"/>
    <n v="1"/>
    <x v="15"/>
  </r>
  <r>
    <d v="2024-12-30T00:00:00"/>
    <s v="9989012082"/>
    <s v="STARBIRD CHICKEN-CUPERTINO"/>
    <n v="1"/>
    <x v="8"/>
  </r>
  <r>
    <d v="2024-12-30T00:00:00"/>
    <s v="9989012082"/>
    <s v="STARBIRD CHICKEN-CUPERTINO"/>
    <n v="1"/>
    <x v="12"/>
  </r>
  <r>
    <d v="2024-12-30T00:00:00"/>
    <s v="9989012082"/>
    <s v="STARBIRD CHICKEN-CUPERTINO"/>
    <n v="1"/>
    <x v="5"/>
  </r>
  <r>
    <d v="2024-12-30T00:00:00"/>
    <s v="9989012082"/>
    <s v="STARBIRD CHICKEN-CUPERTINO"/>
    <n v="1"/>
    <x v="10"/>
  </r>
  <r>
    <d v="2024-12-30T00:00:00"/>
    <s v="9989012082"/>
    <s v="STARBIRD CHICKEN-CUPERTINO"/>
    <n v="1"/>
    <x v="17"/>
  </r>
  <r>
    <d v="2024-12-30T00:00:00"/>
    <s v="9989012082"/>
    <s v="STARBIRD CHICKEN-CUPERTINO"/>
    <n v="1"/>
    <x v="23"/>
  </r>
  <r>
    <d v="2024-12-30T00:00:00"/>
    <s v="9989012083"/>
    <s v="THE MELT (FOLSOM)"/>
    <n v="2"/>
    <x v="16"/>
  </r>
  <r>
    <d v="2024-12-30T00:00:00"/>
    <s v="9989012083"/>
    <s v="THE MELT (FOLSOM)"/>
    <n v="2"/>
    <x v="8"/>
  </r>
  <r>
    <d v="2024-12-30T00:00:00"/>
    <s v="9989012083"/>
    <s v="THE MELT (FOLSOM)"/>
    <n v="1"/>
    <x v="15"/>
  </r>
  <r>
    <d v="2024-12-30T00:00:00"/>
    <s v="9989012083"/>
    <s v="THE MELT (FOLSOM)"/>
    <n v="1"/>
    <x v="10"/>
  </r>
  <r>
    <d v="2024-12-30T00:00:00"/>
    <s v="9989012083"/>
    <s v="THE MELT (FOLSOM)"/>
    <n v="2"/>
    <x v="12"/>
  </r>
  <r>
    <d v="2024-12-30T00:00:00"/>
    <s v="9989012083"/>
    <s v="THE MELT (FOLSOM)"/>
    <n v="1"/>
    <x v="9"/>
  </r>
  <r>
    <d v="2024-12-30T00:00:00"/>
    <s v="9989012084"/>
    <s v="THE MELT (SACRAMENTO-BLVD)"/>
    <n v="3"/>
    <x v="8"/>
  </r>
  <r>
    <d v="2024-12-30T00:00:00"/>
    <s v="9989012084"/>
    <s v="THE MELT (SACRAMENTO-BLVD)"/>
    <n v="1"/>
    <x v="15"/>
  </r>
  <r>
    <d v="2024-12-30T00:00:00"/>
    <s v="9989012084"/>
    <s v="THE MELT (SACRAMENTO-BLVD)"/>
    <n v="1"/>
    <x v="10"/>
  </r>
  <r>
    <d v="2024-12-30T00:00:00"/>
    <s v="9989012084"/>
    <s v="THE MELT (SACRAMENTO-BLVD)"/>
    <n v="1"/>
    <x v="12"/>
  </r>
  <r>
    <d v="2024-12-30T00:00:00"/>
    <s v="9989012084"/>
    <s v="THE MELT (SACRAMENTO-BLVD)"/>
    <n v="1"/>
    <x v="9"/>
  </r>
  <r>
    <d v="2024-12-30T00:00:00"/>
    <s v="9989012085"/>
    <s v="TOWN BAR &amp; LOUNGE"/>
    <n v="1"/>
    <x v="12"/>
  </r>
  <r>
    <d v="2024-12-30T00:00:00"/>
    <s v="9989012085"/>
    <s v="TOWN BAR &amp; LOUNGE"/>
    <n v="1"/>
    <x v="10"/>
  </r>
  <r>
    <d v="2024-12-30T00:00:00"/>
    <s v="9989012086"/>
    <s v="U BAR"/>
    <n v="1"/>
    <x v="12"/>
  </r>
  <r>
    <d v="2024-12-31T00:00:00"/>
    <s v="9989012089"/>
    <s v="SIDESTREET PHO"/>
    <n v="1"/>
    <x v="12"/>
  </r>
  <r>
    <d v="2024-12-31T00:00:00"/>
    <s v="9989012089"/>
    <s v="SIDESTREET PHO"/>
    <n v="1"/>
    <x v="15"/>
  </r>
  <r>
    <d v="2024-12-31T00:00:00"/>
    <s v="9989012090"/>
    <s v="THE MELT (80 GRAND)"/>
    <n v="3"/>
    <x v="8"/>
  </r>
  <r>
    <d v="2024-12-31T00:00:00"/>
    <s v="9989012090"/>
    <s v="THE MELT (80 GRAND)"/>
    <n v="1"/>
    <x v="15"/>
  </r>
  <r>
    <d v="2024-12-31T00:00:00"/>
    <s v="9989012090"/>
    <s v="THE MELT (80 GRAND)"/>
    <n v="1"/>
    <x v="12"/>
  </r>
  <r>
    <d v="2024-12-31T00:00:00"/>
    <s v="9989012090"/>
    <s v="THE MELT (80 GRAND)"/>
    <n v="1"/>
    <x v="9"/>
  </r>
  <r>
    <d v="2024-12-31T00:00:00"/>
    <s v="9989012090"/>
    <s v="THE MELT (80 GRAND)"/>
    <n v="1"/>
    <x v="5"/>
  </r>
  <r>
    <d v="2024-12-31T00:00:00"/>
    <s v="9989012090"/>
    <s v="THE MELT (80 GRAND)"/>
    <n v="1"/>
    <x v="10"/>
  </r>
  <r>
    <d v="2024-12-31T00:00:00"/>
    <s v="9989012091"/>
    <s v="THE STAR ON PARK"/>
    <n v="1"/>
    <x v="14"/>
  </r>
  <r>
    <d v="2024-12-31T00:00:00"/>
    <s v="9989012091"/>
    <s v="THE STAR ON PARK"/>
    <n v="1"/>
    <x v="21"/>
  </r>
  <r>
    <d v="2024-12-31T00:00:00"/>
    <s v="9989012091"/>
    <s v="THE STAR ON PARK"/>
    <n v="1"/>
    <x v="8"/>
  </r>
  <r>
    <d v="2024-12-31T00:00:00"/>
    <s v="9989012091"/>
    <s v="THE STAR ON PARK"/>
    <n v="1"/>
    <x v="12"/>
  </r>
  <r>
    <d v="2024-12-31T00:00:00"/>
    <s v="9989012091"/>
    <s v="THE STAR ON PARK"/>
    <n v="1"/>
    <x v="10"/>
  </r>
  <r>
    <d v="2024-12-31T00:00:00"/>
    <s v="9989012092"/>
    <s v="HOG ISLAND OYSTER CO"/>
    <n v="2"/>
    <x v="26"/>
  </r>
  <r>
    <d v="2024-12-31T00:00:00"/>
    <s v="9989012092"/>
    <s v="HOG ISLAND OYSTER CO"/>
    <n v="2"/>
    <x v="13"/>
  </r>
  <r>
    <d v="2024-12-31T00:00:00"/>
    <s v="9989012092"/>
    <s v="HOG ISLAND OYSTER CO"/>
    <n v="2"/>
    <x v="27"/>
  </r>
  <r>
    <d v="2024-12-31T00:00:00"/>
    <s v="9989012093"/>
    <s v="THE MELT (455 MARKET)"/>
    <n v="2"/>
    <x v="8"/>
  </r>
  <r>
    <d v="2024-12-31T00:00:00"/>
    <s v="9989012093"/>
    <s v="THE MELT (455 MARKET)"/>
    <n v="1"/>
    <x v="5"/>
  </r>
  <r>
    <d v="2024-12-31T00:00:00"/>
    <s v="9989012093"/>
    <s v="THE MELT (455 MARKET)"/>
    <n v="1"/>
    <x v="9"/>
  </r>
  <r>
    <d v="2024-12-31T00:00:00"/>
    <s v="9989012093"/>
    <s v="THE MELT (455 MARKET)"/>
    <n v="1"/>
    <x v="12"/>
  </r>
  <r>
    <d v="2024-12-31T00:00:00"/>
    <s v="9989012093"/>
    <s v="THE MELT (455 MARKET)"/>
    <n v="1"/>
    <x v="15"/>
  </r>
  <r>
    <d v="2024-12-31T00:00:00"/>
    <s v="9989012093"/>
    <s v="THE MELT (455 MARKET)"/>
    <n v="1"/>
    <x v="10"/>
  </r>
  <r>
    <d v="2024-12-31T00:00:00"/>
    <s v="9989012094"/>
    <s v="STARBIRD CHICKEN - SF CLOUD"/>
    <n v="4"/>
    <x v="1"/>
  </r>
  <r>
    <d v="2024-12-31T00:00:00"/>
    <s v="9989012094"/>
    <s v="STARBIRD CHICKEN - SF CLOUD"/>
    <n v="3"/>
    <x v="3"/>
  </r>
  <r>
    <d v="2024-12-31T00:00:00"/>
    <s v="9989012094"/>
    <s v="STARBIRD CHICKEN - SF CLOUD"/>
    <n v="2"/>
    <x v="4"/>
  </r>
  <r>
    <d v="2024-12-31T00:00:00"/>
    <s v="9989012094"/>
    <s v="STARBIRD CHICKEN - SF CLOUD"/>
    <n v="1"/>
    <x v="11"/>
  </r>
  <r>
    <d v="2024-12-31T00:00:00"/>
    <s v="9989012095"/>
    <s v="THE DEAD FISH"/>
    <n v="1"/>
    <x v="26"/>
  </r>
  <r>
    <d v="2024-12-31T00:00:00"/>
    <s v="9989012095"/>
    <s v="THE DEAD FISH"/>
    <n v="1"/>
    <x v="13"/>
  </r>
  <r>
    <d v="2024-12-31T00:00:00"/>
    <s v="9989012095"/>
    <s v="THE DEAD FISH"/>
    <n v="1"/>
    <x v="27"/>
  </r>
  <r>
    <d v="2024-12-31T00:00:00"/>
    <s v="9989012095"/>
    <s v="THE DEAD FISH"/>
    <n v="2"/>
    <x v="7"/>
  </r>
  <r>
    <d v="2024-12-31T00:00:00"/>
    <s v="9989012095"/>
    <s v="THE DEAD FISH"/>
    <n v="2"/>
    <x v="24"/>
  </r>
  <r>
    <d v="2024-12-31T00:00:00"/>
    <s v="9989012095"/>
    <s v="THE DEAD FISH"/>
    <n v="1"/>
    <x v="19"/>
  </r>
  <r>
    <d v="2024-12-31T00:00:00"/>
    <s v="9989012095"/>
    <s v="THE DEAD FISH"/>
    <n v="2"/>
    <x v="14"/>
  </r>
  <r>
    <d v="2024-12-31T00:00:00"/>
    <s v="9989012095"/>
    <s v="THE DEAD FISH"/>
    <n v="1"/>
    <x v="18"/>
  </r>
  <r>
    <d v="2024-12-31T00:00:00"/>
    <s v="9989012096"/>
    <s v="SCOMAS RESTAURANT"/>
    <n v="2"/>
    <x v="8"/>
  </r>
  <r>
    <d v="2024-12-31T00:00:00"/>
    <s v="9989012096"/>
    <s v="SCOMAS RESTAURANT"/>
    <n v="1"/>
    <x v="12"/>
  </r>
  <r>
    <d v="2024-12-31T00:00:00"/>
    <s v="9989012096"/>
    <s v="SCOMAS RESTAURANT"/>
    <n v="1"/>
    <x v="15"/>
  </r>
  <r>
    <d v="2024-12-31T00:00:00"/>
    <s v="9989012098"/>
    <s v="CIGAR BAR AND GRILL"/>
    <n v="1"/>
    <x v="18"/>
  </r>
  <r>
    <d v="2024-12-31T00:00:00"/>
    <s v="9989012098"/>
    <s v="CIGAR BAR AND GRILL"/>
    <n v="1"/>
    <x v="8"/>
  </r>
  <r>
    <d v="2024-12-31T00:00:00"/>
    <s v="9989012098"/>
    <s v="CIGAR BAR AND GRILL"/>
    <n v="1"/>
    <x v="15"/>
  </r>
  <r>
    <d v="2024-12-31T00:00:00"/>
    <s v="9989012098"/>
    <s v="CIGAR BAR AND GRILL"/>
    <n v="1"/>
    <x v="14"/>
  </r>
  <r>
    <d v="2024-12-31T00:00:00"/>
    <s v="9989012099"/>
    <s v="BIANCOVERDE-(HOTEL MAC)"/>
    <n v="1"/>
    <x v="12"/>
  </r>
  <r>
    <d v="2024-12-31T00:00:00"/>
    <s v="9989012099"/>
    <s v="BIANCOVERDE-(HOTEL MAC)"/>
    <n v="1"/>
    <x v="18"/>
  </r>
  <r>
    <d v="2024-12-31T00:00:00"/>
    <s v="9989012099"/>
    <s v="BIANCOVERDE-(HOTEL MAC)"/>
    <n v="1"/>
    <x v="8"/>
  </r>
  <r>
    <d v="2024-12-31T00:00:00"/>
    <s v="9989012099"/>
    <s v="BIANCOVERDE-(HOTEL MAC)"/>
    <n v="1"/>
    <x v="29"/>
  </r>
  <r>
    <d v="2024-12-31T00:00:00"/>
    <s v="9989012100"/>
    <s v="BALBOA THEATER"/>
    <n v="1"/>
    <x v="26"/>
  </r>
  <r>
    <d v="2024-12-31T00:00:00"/>
    <s v="9989012100"/>
    <s v="BALBOA THEATER"/>
    <n v="1"/>
    <x v="13"/>
  </r>
  <r>
    <d v="2024-12-31T00:00:00"/>
    <s v="9989012100"/>
    <s v="BALBOA THEATER"/>
    <n v="1"/>
    <x v="5"/>
  </r>
  <r>
    <d v="2024-12-31T00:00:00"/>
    <s v="9989012101"/>
    <s v="CROWN BAR (LAMA BAR)"/>
    <n v="1"/>
    <x v="14"/>
  </r>
  <r>
    <d v="2024-12-31T00:00:00"/>
    <s v="9989012101"/>
    <s v="CROWN BAR (LAMA BAR)"/>
    <n v="1"/>
    <x v="8"/>
  </r>
  <r>
    <d v="2024-12-31T00:00:00"/>
    <s v="9989012101"/>
    <s v="CROWN BAR (LAMA BAR)"/>
    <n v="1"/>
    <x v="19"/>
  </r>
  <r>
    <d v="2024-12-31T00:00:00"/>
    <s v="9989012101"/>
    <s v="CROWN BAR (LAMA BAR)"/>
    <n v="1"/>
    <x v="18"/>
  </r>
  <r>
    <d v="2024-12-31T00:00:00"/>
    <s v="9989012101"/>
    <s v="CROWN BAR (LAMA BAR)"/>
    <n v="1"/>
    <x v="10"/>
  </r>
  <r>
    <d v="2024-12-31T00:00:00"/>
    <s v="9989012102"/>
    <s v="HOTSY TOTSY CLUB"/>
    <n v="1"/>
    <x v="18"/>
  </r>
  <r>
    <d v="2024-12-31T00:00:00"/>
    <s v="9989012102"/>
    <s v="HOTSY TOTSY CLUB"/>
    <n v="1"/>
    <x v="8"/>
  </r>
  <r>
    <d v="2024-12-31T00:00:00"/>
    <s v="9989012102"/>
    <s v="HOTSY TOTSY CLUB"/>
    <n v="1"/>
    <x v="19"/>
  </r>
  <r>
    <d v="2024-12-31T00:00:00"/>
    <s v="9989012103"/>
    <s v="CLUB MALLARD"/>
    <n v="1"/>
    <x v="8"/>
  </r>
  <r>
    <d v="2024-12-31T00:00:00"/>
    <s v="9989012104"/>
    <s v="MONROE"/>
    <n v="2"/>
    <x v="14"/>
  </r>
  <r>
    <d v="2024-12-31T00:00:00"/>
    <s v="9989012104"/>
    <s v="MONROE"/>
    <n v="2"/>
    <x v="21"/>
  </r>
  <r>
    <d v="2024-12-31T00:00:00"/>
    <s v="9989012105"/>
    <s v="PORTAL OAKLAND INC"/>
    <n v="1"/>
    <x v="8"/>
  </r>
  <r>
    <d v="2024-12-31T00:00:00"/>
    <s v="9989012105"/>
    <s v="PORTAL OAKLAND INC"/>
    <n v="1"/>
    <x v="14"/>
  </r>
  <r>
    <d v="2024-12-31T00:00:00"/>
    <s v="9989012105"/>
    <s v="PORTAL OAKLAND INC"/>
    <n v="1"/>
    <x v="24"/>
  </r>
  <r>
    <d v="2024-12-31T00:00:00"/>
    <s v="9989012105"/>
    <s v="PORTAL OAKLAND INC"/>
    <n v="1"/>
    <x v="7"/>
  </r>
  <r>
    <d v="2024-12-31T00:00:00"/>
    <s v="9989012107"/>
    <s v="BARNEY MC BEARS LLC"/>
    <n v="1"/>
    <x v="21"/>
  </r>
  <r>
    <d v="2024-12-31T00:00:00"/>
    <s v="9989012107"/>
    <s v="BARNEY MC BEARS LLC"/>
    <n v="1"/>
    <x v="8"/>
  </r>
  <r>
    <d v="2024-12-31T00:00:00"/>
    <s v="9989012109"/>
    <s v="STARBIRD - TASTES ON THE FLY SF"/>
    <n v="4"/>
    <x v="8"/>
  </r>
  <r>
    <d v="2024-12-31T00:00:00"/>
    <s v="9989012109"/>
    <s v="STARBIRD - TASTES ON THE FLY SF"/>
    <n v="4"/>
    <x v="15"/>
  </r>
  <r>
    <d v="2024-12-31T00:00:00"/>
    <s v="9989012109"/>
    <s v="STARBIRD - TASTES ON THE FLY SF"/>
    <n v="2"/>
    <x v="5"/>
  </r>
  <r>
    <d v="2024-12-31T00:00:00"/>
    <s v="9989012109"/>
    <s v="STARBIRD - TASTES ON THE FLY SF"/>
    <n v="2"/>
    <x v="9"/>
  </r>
  <r>
    <d v="2024-12-31T00:00:00"/>
    <s v="9989012109"/>
    <s v="STARBIRD - TASTES ON THE FLY SF"/>
    <n v="1"/>
    <x v="12"/>
  </r>
  <r>
    <d v="2024-12-31T00:00:00"/>
    <s v="9989012109"/>
    <s v="STARBIRD - TASTES ON THE FLY SF"/>
    <n v="2"/>
    <x v="10"/>
  </r>
  <r>
    <d v="2025-01-02T00:00:00"/>
    <s v="9989012116"/>
    <s v="PANCOAST PIZZA"/>
    <n v="1"/>
    <x v="17"/>
  </r>
  <r>
    <d v="2025-01-02T00:00:00"/>
    <s v="9989012116"/>
    <s v="PANCOAST PIZZA"/>
    <n v="1"/>
    <x v="5"/>
  </r>
  <r>
    <d v="2025-01-02T00:00:00"/>
    <s v="9989012116"/>
    <s v="PANCOAST PIZZA"/>
    <n v="1"/>
    <x v="8"/>
  </r>
  <r>
    <d v="2025-01-02T00:00:00"/>
    <s v="9989012116"/>
    <s v="PANCOAST PIZZA"/>
    <n v="1"/>
    <x v="15"/>
  </r>
  <r>
    <d v="2025-01-02T00:00:00"/>
    <s v="9989012116"/>
    <s v="PANCOAST PIZZA"/>
    <n v="1"/>
    <x v="16"/>
  </r>
  <r>
    <d v="2025-01-02T00:00:00"/>
    <s v="9989012117"/>
    <s v="STARBIRD CHICKEN - FOSTER CITY"/>
    <n v="3"/>
    <x v="8"/>
  </r>
  <r>
    <d v="2025-01-02T00:00:00"/>
    <s v="9989012117"/>
    <s v="STARBIRD CHICKEN - FOSTER CITY"/>
    <n v="3"/>
    <x v="15"/>
  </r>
  <r>
    <d v="2025-01-02T00:00:00"/>
    <s v="9989012117"/>
    <s v="STARBIRD CHICKEN - FOSTER CITY"/>
    <n v="1"/>
    <x v="23"/>
  </r>
  <r>
    <d v="2025-01-02T00:00:00"/>
    <s v="9989012117"/>
    <s v="STARBIRD CHICKEN - FOSTER CITY"/>
    <n v="2"/>
    <x v="5"/>
  </r>
  <r>
    <d v="2025-01-02T00:00:00"/>
    <s v="9989012117"/>
    <s v="STARBIRD CHICKEN - FOSTER CITY"/>
    <n v="2"/>
    <x v="12"/>
  </r>
  <r>
    <d v="2025-01-02T00:00:00"/>
    <s v="9989012117"/>
    <s v="STARBIRD CHICKEN - FOSTER CITY"/>
    <n v="3"/>
    <x v="17"/>
  </r>
  <r>
    <d v="2025-01-02T00:00:00"/>
    <s v="9989012117"/>
    <s v="STARBIRD CHICKEN - FOSTER CITY"/>
    <n v="2"/>
    <x v="10"/>
  </r>
  <r>
    <d v="2025-01-02T00:00:00"/>
    <s v="9989012117"/>
    <s v="STARBIRD CHICKEN - FOSTER CITY"/>
    <n v="2"/>
    <x v="11"/>
  </r>
  <r>
    <d v="2025-01-02T00:00:00"/>
    <s v="9989012117"/>
    <s v="STARBIRD CHICKEN - FOSTER CITY"/>
    <n v="2"/>
    <x v="1"/>
  </r>
  <r>
    <d v="2025-01-02T00:00:00"/>
    <s v="9989012117"/>
    <s v="STARBIRD CHICKEN - FOSTER CITY"/>
    <n v="2"/>
    <x v="4"/>
  </r>
  <r>
    <d v="2025-01-02T00:00:00"/>
    <s v="9989012117"/>
    <s v="STARBIRD CHICKEN - FOSTER CITY"/>
    <n v="1"/>
    <x v="3"/>
  </r>
  <r>
    <d v="2025-01-02T00:00:00"/>
    <s v="9989012117"/>
    <s v="STARBIRD CHICKEN - FOSTER CITY"/>
    <n v="1"/>
    <x v="23"/>
  </r>
  <r>
    <d v="2025-01-02T00:00:00"/>
    <s v="9989012118"/>
    <s v="MONTE CARLO"/>
    <n v="6"/>
    <x v="28"/>
  </r>
  <r>
    <d v="2025-01-02T00:00:00"/>
    <s v="9989012118"/>
    <s v="MONTE CARLO"/>
    <n v="5"/>
    <x v="14"/>
  </r>
  <r>
    <d v="2025-01-02T00:00:00"/>
    <s v="9989012118"/>
    <s v="MONTE CARLO"/>
    <n v="2"/>
    <x v="37"/>
  </r>
  <r>
    <d v="2025-01-02T00:00:00"/>
    <s v="9989012118"/>
    <s v="MONTE CARLO"/>
    <n v="3"/>
    <x v="29"/>
  </r>
  <r>
    <d v="2025-01-02T00:00:00"/>
    <s v="9989012118"/>
    <s v="MONTE CARLO"/>
    <n v="2"/>
    <x v="22"/>
  </r>
  <r>
    <d v="2025-01-02T00:00:00"/>
    <s v="9989012118"/>
    <s v="MONTE CARLO"/>
    <n v="2"/>
    <x v="12"/>
  </r>
  <r>
    <d v="2025-01-02T00:00:00"/>
    <s v="9989012118"/>
    <s v="MONTE CARLO"/>
    <n v="2"/>
    <x v="8"/>
  </r>
  <r>
    <d v="2025-01-02T00:00:00"/>
    <s v="9989012119"/>
    <s v="THE YARD"/>
    <n v="2"/>
    <x v="7"/>
  </r>
  <r>
    <d v="2025-01-02T00:00:00"/>
    <s v="9989012119"/>
    <s v="THE YARD"/>
    <n v="2"/>
    <x v="5"/>
  </r>
  <r>
    <d v="2025-01-02T00:00:00"/>
    <s v="9989012119"/>
    <s v="THE YARD"/>
    <n v="3"/>
    <x v="13"/>
  </r>
  <r>
    <d v="2025-01-02T00:00:00"/>
    <s v="9989012120"/>
    <s v="RAMBUS"/>
    <n v="2"/>
    <x v="15"/>
  </r>
  <r>
    <d v="2025-01-02T00:00:00"/>
    <s v="9989012120"/>
    <s v="RAMBUS"/>
    <n v="2"/>
    <x v="8"/>
  </r>
  <r>
    <d v="2025-01-02T00:00:00"/>
    <s v="9989012121"/>
    <s v="STRAITS SANTANA ROW"/>
    <n v="2"/>
    <x v="8"/>
  </r>
  <r>
    <d v="2025-01-02T00:00:00"/>
    <s v="9989012121"/>
    <s v="STRAITS SANTANA ROW"/>
    <n v="1"/>
    <x v="15"/>
  </r>
  <r>
    <d v="2025-01-02T00:00:00"/>
    <s v="9989012121"/>
    <s v="STRAITS SANTANA ROW"/>
    <n v="1"/>
    <x v="12"/>
  </r>
  <r>
    <d v="2025-01-02T00:00:00"/>
    <s v="9989012121"/>
    <s v="STRAITS SANTANA ROW"/>
    <n v="1"/>
    <x v="18"/>
  </r>
  <r>
    <d v="2025-01-02T00:00:00"/>
    <s v="9989012121"/>
    <s v="STRAITS SANTANA ROW"/>
    <n v="1"/>
    <x v="28"/>
  </r>
  <r>
    <d v="2025-01-02T00:00:00"/>
    <s v="9989012121"/>
    <s v="STRAITS SANTANA ROW"/>
    <n v="2"/>
    <x v="10"/>
  </r>
  <r>
    <d v="2025-01-02T00:00:00"/>
    <s v="9989012122"/>
    <s v="STARBIRD CHICKEN - PLEASANTON"/>
    <n v="2"/>
    <x v="8"/>
  </r>
  <r>
    <d v="2025-01-02T00:00:00"/>
    <s v="9989012122"/>
    <s v="STARBIRD CHICKEN - PLEASANTON"/>
    <n v="1"/>
    <x v="5"/>
  </r>
  <r>
    <d v="2025-01-02T00:00:00"/>
    <s v="9989012122"/>
    <s v="STARBIRD CHICKEN - PLEASANTON"/>
    <n v="1"/>
    <x v="17"/>
  </r>
  <r>
    <d v="2025-01-02T00:00:00"/>
    <s v="9989012122"/>
    <s v="STARBIRD CHICKEN - PLEASANTON"/>
    <n v="1"/>
    <x v="11"/>
  </r>
  <r>
    <d v="2025-01-02T00:00:00"/>
    <s v="9989012122"/>
    <s v="STARBIRD CHICKEN - PLEASANTON"/>
    <n v="1"/>
    <x v="3"/>
  </r>
  <r>
    <d v="2025-01-02T00:00:00"/>
    <s v="9989012123"/>
    <s v="BRIX BEVERAGE - SAMPLING"/>
    <n v="1"/>
    <x v="20"/>
  </r>
  <r>
    <d v="2025-01-02T00:00:00"/>
    <s v="9989012124"/>
    <s v="LUNA LOCA (JAINS FOODS)"/>
    <n v="2"/>
    <x v="15"/>
  </r>
  <r>
    <d v="2025-01-02T00:00:00"/>
    <s v="9989012124"/>
    <s v="LUNA LOCA (JAINS FOODS)"/>
    <n v="1"/>
    <x v="5"/>
  </r>
  <r>
    <d v="2025-01-02T00:00:00"/>
    <s v="9989012124"/>
    <s v="LUNA LOCA (JAINS FOODS)"/>
    <n v="1"/>
    <x v="12"/>
  </r>
  <r>
    <d v="2025-01-02T00:00:00"/>
    <s v="9989012124"/>
    <s v="LUNA LOCA (JAINS FOODS)"/>
    <n v="1"/>
    <x v="8"/>
  </r>
  <r>
    <d v="2025-01-02T00:00:00"/>
    <s v="9989012124"/>
    <s v="LUNA LOCA (JAINS FOODS)"/>
    <n v="1"/>
    <x v="7"/>
  </r>
  <r>
    <d v="2025-01-02T00:00:00"/>
    <s v="9989012126"/>
    <s v="LAUREL LOUNGE"/>
    <n v="1"/>
    <x v="14"/>
  </r>
  <r>
    <d v="2025-01-02T00:00:00"/>
    <s v="9989012126"/>
    <s v="LAUREL LOUNGE"/>
    <n v="1"/>
    <x v="8"/>
  </r>
  <r>
    <d v="2025-01-02T00:00:00"/>
    <s v="9989012128"/>
    <s v="MOLLY O'S"/>
    <n v="1"/>
    <x v="19"/>
  </r>
  <r>
    <d v="2025-01-02T00:00:00"/>
    <s v="9989012128"/>
    <s v="MOLLY O'S"/>
    <n v="1"/>
    <x v="8"/>
  </r>
  <r>
    <d v="2025-01-02T00:00:00"/>
    <s v="9989012128"/>
    <s v="MOLLY O'S"/>
    <n v="1"/>
    <x v="15"/>
  </r>
  <r>
    <d v="2025-01-02T00:00:00"/>
    <s v="9989012128"/>
    <s v="MOLLY O'S"/>
    <n v="1"/>
    <x v="7"/>
  </r>
  <r>
    <d v="2025-01-02T00:00:00"/>
    <s v="9989012128"/>
    <s v="MOLLY O'S"/>
    <n v="1"/>
    <x v="18"/>
  </r>
  <r>
    <d v="2025-01-02T00:00:00"/>
    <s v="9989012131"/>
    <s v="MOLOTOVS ( TWO NICKELS)"/>
    <n v="1"/>
    <x v="19"/>
  </r>
  <r>
    <d v="2025-01-02T00:00:00"/>
    <s v="9989012131"/>
    <s v="MOLOTOVS ( TWO NICKELS)"/>
    <n v="1"/>
    <x v="10"/>
  </r>
  <r>
    <d v="2025-01-03T00:00:00"/>
    <s v="9989012132"/>
    <s v="SLICE HOUSE"/>
    <n v="1"/>
    <x v="13"/>
  </r>
  <r>
    <d v="2025-01-03T00:00:00"/>
    <s v="9989012132"/>
    <s v="SLICE HOUSE"/>
    <n v="1"/>
    <x v="7"/>
  </r>
  <r>
    <d v="2025-01-03T00:00:00"/>
    <s v="9989012132"/>
    <s v="SLICE HOUSE"/>
    <n v="1"/>
    <x v="5"/>
  </r>
  <r>
    <d v="2025-01-03T00:00:00"/>
    <s v="9989012133"/>
    <s v="STARBIRD CHICKEN - CORTE MADERA"/>
    <n v="4"/>
    <x v="8"/>
  </r>
  <r>
    <d v="2025-01-03T00:00:00"/>
    <s v="9989012133"/>
    <s v="STARBIRD CHICKEN - CORTE MADERA"/>
    <n v="3"/>
    <x v="5"/>
  </r>
  <r>
    <d v="2025-01-03T00:00:00"/>
    <s v="9989012133"/>
    <s v="STARBIRD CHICKEN - CORTE MADERA"/>
    <n v="3"/>
    <x v="17"/>
  </r>
  <r>
    <d v="2025-01-03T00:00:00"/>
    <s v="9989012133"/>
    <s v="STARBIRD CHICKEN - CORTE MADERA"/>
    <n v="1"/>
    <x v="15"/>
  </r>
  <r>
    <d v="2025-01-03T00:00:00"/>
    <s v="9989012133"/>
    <s v="STARBIRD CHICKEN - CORTE MADERA"/>
    <n v="1"/>
    <x v="12"/>
  </r>
  <r>
    <d v="2025-01-03T00:00:00"/>
    <s v="9989012133"/>
    <s v="STARBIRD CHICKEN - CORTE MADERA"/>
    <n v="1"/>
    <x v="23"/>
  </r>
  <r>
    <d v="2025-01-03T00:00:00"/>
    <s v="9989012133"/>
    <s v="STARBIRD CHICKEN - CORTE MADERA"/>
    <n v="3"/>
    <x v="10"/>
  </r>
  <r>
    <d v="2025-01-03T00:00:00"/>
    <s v="9989012133"/>
    <s v="STARBIRD CHICKEN - CORTE MADERA"/>
    <n v="2"/>
    <x v="1"/>
  </r>
  <r>
    <d v="2025-01-03T00:00:00"/>
    <s v="9989012133"/>
    <s v="STARBIRD CHICKEN - CORTE MADERA"/>
    <n v="2"/>
    <x v="11"/>
  </r>
  <r>
    <d v="2025-01-03T00:00:00"/>
    <s v="9989012133"/>
    <s v="STARBIRD CHICKEN - CORTE MADERA"/>
    <n v="2"/>
    <x v="4"/>
  </r>
  <r>
    <d v="2025-01-03T00:00:00"/>
    <s v="9989012133"/>
    <s v="STARBIRD CHICKEN - CORTE MADERA"/>
    <n v="1"/>
    <x v="3"/>
  </r>
  <r>
    <d v="2025-01-03T00:00:00"/>
    <s v="9989012134"/>
    <s v="THE MELT (STANFORD)"/>
    <n v="3"/>
    <x v="8"/>
  </r>
  <r>
    <d v="2025-01-03T00:00:00"/>
    <s v="9989012134"/>
    <s v="THE MELT (STANFORD)"/>
    <n v="2"/>
    <x v="5"/>
  </r>
  <r>
    <d v="2025-01-03T00:00:00"/>
    <s v="9989012134"/>
    <s v="THE MELT (STANFORD)"/>
    <n v="1"/>
    <x v="9"/>
  </r>
  <r>
    <d v="2025-01-03T00:00:00"/>
    <s v="9989012134"/>
    <s v="THE MELT (STANFORD)"/>
    <n v="1"/>
    <x v="15"/>
  </r>
  <r>
    <d v="2025-01-03T00:00:00"/>
    <s v="9989012134"/>
    <s v="THE MELT (STANFORD)"/>
    <n v="1"/>
    <x v="12"/>
  </r>
  <r>
    <d v="2025-01-03T00:00:00"/>
    <s v="9989012134"/>
    <s v="THE MELT (STANFORD)"/>
    <n v="1"/>
    <x v="10"/>
  </r>
  <r>
    <d v="2025-01-03T00:00:00"/>
    <s v="9989012134"/>
    <s v="THE MELT (STANFORD)"/>
    <n v="1"/>
    <x v="9"/>
  </r>
  <r>
    <d v="2025-01-03T00:00:00"/>
    <s v="9989012135"/>
    <s v="HIDDEN SPOT"/>
    <n v="1"/>
    <x v="18"/>
  </r>
  <r>
    <d v="2025-01-03T00:00:00"/>
    <s v="9989012136"/>
    <s v="HOMEROOM - OAKLAND"/>
    <n v="1"/>
    <x v="8"/>
  </r>
  <r>
    <d v="2025-01-03T00:00:00"/>
    <s v="9989012136"/>
    <s v="HOMEROOM - OAKLAND"/>
    <n v="2"/>
    <x v="5"/>
  </r>
  <r>
    <d v="2025-01-03T00:00:00"/>
    <s v="9989012136"/>
    <s v="HOMEROOM - OAKLAND"/>
    <n v="1"/>
    <x v="12"/>
  </r>
  <r>
    <d v="2025-01-03T00:00:00"/>
    <s v="9989012136"/>
    <s v="HOMEROOM - OAKLAND"/>
    <n v="1"/>
    <x v="19"/>
  </r>
  <r>
    <d v="2025-01-03T00:00:00"/>
    <s v="9989012137"/>
    <s v="PIZZERIA PAPPO"/>
    <n v="1"/>
    <x v="2"/>
  </r>
  <r>
    <d v="2025-01-03T00:00:00"/>
    <s v="9989012137"/>
    <s v="PIZZERIA PAPPO"/>
    <n v="1"/>
    <x v="3"/>
  </r>
  <r>
    <d v="2025-01-03T00:00:00"/>
    <s v="9989012138"/>
    <s v="CRYBABY"/>
    <n v="2"/>
    <x v="28"/>
  </r>
  <r>
    <d v="2025-01-03T00:00:00"/>
    <s v="9989012138"/>
    <s v="CRYBABY"/>
    <n v="1"/>
    <x v="29"/>
  </r>
  <r>
    <d v="2025-01-03T00:00:00"/>
    <s v="9989012138"/>
    <s v="CRYBABY"/>
    <n v="1"/>
    <x v="14"/>
  </r>
  <r>
    <d v="2025-01-03T00:00:00"/>
    <s v="9989012138"/>
    <s v="CRYBABY"/>
    <n v="1"/>
    <x v="21"/>
  </r>
  <r>
    <d v="2025-01-03T00:00:00"/>
    <s v="9989012138"/>
    <s v="CRYBABY"/>
    <n v="1"/>
    <x v="10"/>
  </r>
  <r>
    <d v="2025-01-03T00:00:00"/>
    <s v="9989012139"/>
    <s v="7TH WEST BREWERY"/>
    <n v="2"/>
    <x v="12"/>
  </r>
  <r>
    <d v="2025-01-03T00:00:00"/>
    <s v="9989012139"/>
    <s v="7TH WEST BREWERY"/>
    <n v="1"/>
    <x v="14"/>
  </r>
  <r>
    <d v="2025-01-03T00:00:00"/>
    <s v="9989012139"/>
    <s v="7TH WEST BREWERY"/>
    <n v="1"/>
    <x v="8"/>
  </r>
  <r>
    <d v="2025-01-03T00:00:00"/>
    <s v="9989012139"/>
    <s v="7TH WEST BREWERY"/>
    <n v="1"/>
    <x v="18"/>
  </r>
  <r>
    <d v="2025-01-03T00:00:00"/>
    <s v="9989012140"/>
    <s v="PHILS FISH MARKET"/>
    <n v="6"/>
    <x v="13"/>
  </r>
  <r>
    <d v="2025-01-03T00:00:00"/>
    <s v="9989012140"/>
    <s v="PHILS FISH MARKET"/>
    <n v="4"/>
    <x v="26"/>
  </r>
  <r>
    <d v="2025-01-03T00:00:00"/>
    <s v="9989012140"/>
    <s v="PHILS FISH MARKET"/>
    <n v="3"/>
    <x v="27"/>
  </r>
  <r>
    <d v="2025-01-03T00:00:00"/>
    <s v="9989012140"/>
    <s v="PHILS FISH MARKET"/>
    <n v="4"/>
    <x v="5"/>
  </r>
  <r>
    <d v="2025-01-03T00:00:00"/>
    <s v="9989012140"/>
    <s v="PHILS FISH MARKET"/>
    <n v="4"/>
    <x v="7"/>
  </r>
  <r>
    <d v="2025-01-03T00:00:00"/>
    <s v="9989012140"/>
    <s v="PHILS FISH MARKET"/>
    <n v="2"/>
    <x v="9"/>
  </r>
  <r>
    <d v="2025-01-03T00:00:00"/>
    <s v="9989012141"/>
    <s v="SCOLARIS ON PARK ST"/>
    <n v="6"/>
    <x v="4"/>
  </r>
  <r>
    <d v="2025-01-03T00:00:00"/>
    <s v="9989012141"/>
    <s v="SCOLARIS ON PARK ST"/>
    <n v="5"/>
    <x v="1"/>
  </r>
  <r>
    <d v="2025-01-03T00:00:00"/>
    <s v="9989012141"/>
    <s v="SCOLARIS ON PARK ST"/>
    <n v="4"/>
    <x v="2"/>
  </r>
  <r>
    <d v="2025-01-03T00:00:00"/>
    <s v="9989012141"/>
    <s v="SCOLARIS ON PARK ST"/>
    <n v="3"/>
    <x v="3"/>
  </r>
  <r>
    <d v="2025-01-03T00:00:00"/>
    <s v="9989012141"/>
    <s v="SCOLARIS ON PARK ST"/>
    <n v="2"/>
    <x v="11"/>
  </r>
  <r>
    <d v="2025-01-03T00:00:00"/>
    <s v="9989012142"/>
    <s v="CAFE CRUZ"/>
    <n v="4"/>
    <x v="10"/>
  </r>
  <r>
    <d v="2025-01-03T00:00:00"/>
    <s v="9989012143"/>
    <s v="THE DEAD FISH"/>
    <n v="4"/>
    <x v="14"/>
  </r>
  <r>
    <d v="2025-01-03T00:00:00"/>
    <s v="9989012144"/>
    <s v="LAS PALMAS"/>
    <n v="1"/>
    <x v="13"/>
  </r>
  <r>
    <d v="2025-01-03T00:00:00"/>
    <s v="9989012144"/>
    <s v="LAS PALMAS"/>
    <n v="1"/>
    <x v="5"/>
  </r>
  <r>
    <d v="2025-01-03T00:00:00"/>
    <s v="9989012144"/>
    <s v="LAS PALMAS"/>
    <n v="1"/>
    <x v="7"/>
  </r>
  <r>
    <d v="2025-01-03T00:00:00"/>
    <s v="9989012145"/>
    <s v="BLUE LAGOON"/>
    <n v="1"/>
    <x v="22"/>
  </r>
  <r>
    <d v="2025-01-03T00:00:00"/>
    <s v="9989012145"/>
    <s v="BLUE LAGOON"/>
    <n v="1"/>
    <x v="19"/>
  </r>
  <r>
    <d v="2025-01-03T00:00:00"/>
    <s v="9989012145"/>
    <s v="BLUE LAGOON"/>
    <n v="1"/>
    <x v="28"/>
  </r>
  <r>
    <d v="2025-01-03T00:00:00"/>
    <s v="9989012145"/>
    <s v="BLUE LAGOON"/>
    <n v="1"/>
    <x v="12"/>
  </r>
  <r>
    <d v="2025-01-03T00:00:00"/>
    <s v="9989012147"/>
    <s v="ELLIOTTS"/>
    <n v="1"/>
    <x v="8"/>
  </r>
  <r>
    <d v="2025-01-03T00:00:00"/>
    <s v="9989012147"/>
    <s v="ELLIOTTS"/>
    <n v="1"/>
    <x v="12"/>
  </r>
  <r>
    <d v="2025-01-03T00:00:00"/>
    <s v="9989012147"/>
    <s v="ELLIOTTS"/>
    <n v="1"/>
    <x v="14"/>
  </r>
  <r>
    <d v="2025-01-03T00:00:00"/>
    <s v="9989012148"/>
    <s v="DINOS GRILL"/>
    <n v="2"/>
    <x v="15"/>
  </r>
  <r>
    <d v="2025-01-03T00:00:00"/>
    <s v="9989012148"/>
    <s v="DINOS GRILL"/>
    <n v="2"/>
    <x v="8"/>
  </r>
  <r>
    <d v="2025-01-03T00:00:00"/>
    <s v="9989012148"/>
    <s v="DINOS GRILL"/>
    <n v="2"/>
    <x v="5"/>
  </r>
  <r>
    <d v="2025-01-03T00:00:00"/>
    <s v="9989012148"/>
    <s v="DINOS GRILL"/>
    <n v="2"/>
    <x v="16"/>
  </r>
  <r>
    <d v="2025-01-03T00:00:00"/>
    <s v="9989012148"/>
    <s v="DINOS GRILL"/>
    <n v="1"/>
    <x v="12"/>
  </r>
  <r>
    <d v="2025-01-03T00:00:00"/>
    <s v="9989012148"/>
    <s v="DINOS GRILL"/>
    <n v="1"/>
    <x v="9"/>
  </r>
  <r>
    <d v="2025-01-03T00:00:00"/>
    <s v="9989012148"/>
    <s v="DINOS GRILL"/>
    <n v="1"/>
    <x v="0"/>
  </r>
  <r>
    <d v="2025-01-03T00:00:00"/>
    <s v="9989012148"/>
    <s v="DINOS GRILL"/>
    <n v="1"/>
    <x v="1"/>
  </r>
  <r>
    <d v="2025-01-03T00:00:00"/>
    <s v="9989012149"/>
    <s v="THE BREAKROOM"/>
    <n v="3"/>
    <x v="8"/>
  </r>
  <r>
    <d v="2025-01-03T00:00:00"/>
    <s v="9989012149"/>
    <s v="THE BREAKROOM"/>
    <n v="2"/>
    <x v="12"/>
  </r>
  <r>
    <d v="2025-01-03T00:00:00"/>
    <s v="9989012150"/>
    <s v="ARTHUR MAC'S LITTLE SNACK"/>
    <n v="3"/>
    <x v="7"/>
  </r>
  <r>
    <d v="2025-01-03T00:00:00"/>
    <s v="9989012150"/>
    <s v="ARTHUR MAC'S LITTLE SNACK"/>
    <n v="1"/>
    <x v="9"/>
  </r>
  <r>
    <d v="2025-01-03T00:00:00"/>
    <s v="9989012150"/>
    <s v="ARTHUR MAC'S LITTLE SNACK"/>
    <n v="1"/>
    <x v="15"/>
  </r>
  <r>
    <d v="2025-01-03T00:00:00"/>
    <s v="9989012150"/>
    <s v="ARTHUR MAC'S LITTLE SNACK"/>
    <n v="1"/>
    <x v="8"/>
  </r>
  <r>
    <d v="2025-01-03T00:00:00"/>
    <s v="9989012150"/>
    <s v="ARTHUR MAC'S LITTLE SNACK"/>
    <n v="1"/>
    <x v="24"/>
  </r>
  <r>
    <d v="2025-01-03T00:00:00"/>
    <s v="9989012150"/>
    <s v="ARTHUR MAC'S LITTLE SNACK"/>
    <n v="2"/>
    <x v="10"/>
  </r>
  <r>
    <d v="2025-01-06T00:00:00"/>
    <s v="9989012151"/>
    <s v="THE MELT (IRVINE SPECTRUM)"/>
    <n v="2"/>
    <x v="16"/>
  </r>
  <r>
    <d v="2025-01-06T00:00:00"/>
    <s v="9989012151"/>
    <s v="THE MELT (IRVINE SPECTRUM)"/>
    <n v="5"/>
    <x v="8"/>
  </r>
  <r>
    <d v="2025-01-06T00:00:00"/>
    <s v="9989012151"/>
    <s v="THE MELT (IRVINE SPECTRUM)"/>
    <n v="3"/>
    <x v="10"/>
  </r>
  <r>
    <d v="2025-01-06T00:00:00"/>
    <s v="9989012151"/>
    <s v="THE MELT (IRVINE SPECTRUM)"/>
    <n v="4"/>
    <x v="9"/>
  </r>
  <r>
    <d v="2025-01-06T00:00:00"/>
    <s v="9989012151"/>
    <s v="THE MELT (IRVINE SPECTRUM)"/>
    <n v="3"/>
    <x v="5"/>
  </r>
  <r>
    <d v="2025-01-07T00:00:00"/>
    <s v="9989012152"/>
    <s v="ALMANAC"/>
    <n v="6"/>
    <x v="1"/>
  </r>
  <r>
    <d v="2025-01-07T00:00:00"/>
    <s v="9989012152"/>
    <s v="ALMANAC"/>
    <n v="6"/>
    <x v="4"/>
  </r>
  <r>
    <d v="2025-01-07T00:00:00"/>
    <s v="9989012152"/>
    <s v="ALMANAC"/>
    <n v="1"/>
    <x v="3"/>
  </r>
  <r>
    <d v="2025-01-07T00:00:00"/>
    <s v="9989012152"/>
    <s v="ALMANAC"/>
    <n v="4"/>
    <x v="0"/>
  </r>
  <r>
    <d v="2025-01-07T00:00:00"/>
    <s v="9989012152"/>
    <s v="ALMANAC"/>
    <n v="5"/>
    <x v="11"/>
  </r>
  <r>
    <d v="2025-01-07T00:00:00"/>
    <s v="9989012153"/>
    <s v="ENCINAL MARKET"/>
    <n v="1"/>
    <x v="1"/>
  </r>
  <r>
    <d v="2025-01-07T00:00:00"/>
    <s v="9989012153"/>
    <s v="ENCINAL MARKET"/>
    <n v="1"/>
    <x v="11"/>
  </r>
  <r>
    <d v="2025-01-07T00:00:00"/>
    <s v="9989012153"/>
    <s v="ENCINAL MARKET"/>
    <n v="1"/>
    <x v="0"/>
  </r>
  <r>
    <d v="2025-01-07T00:00:00"/>
    <s v="9989012153"/>
    <s v="ENCINAL MARKET"/>
    <n v="1"/>
    <x v="3"/>
  </r>
  <r>
    <d v="2025-01-07T00:00:00"/>
    <s v="9989012153"/>
    <s v="ENCINAL MARKET"/>
    <n v="1"/>
    <x v="4"/>
  </r>
  <r>
    <d v="2025-01-07T00:00:00"/>
    <s v="9989012154"/>
    <s v="STARBIRD CHICKEN - SOUTH SAN FRANCISCO"/>
    <n v="3"/>
    <x v="8"/>
  </r>
  <r>
    <d v="2025-01-07T00:00:00"/>
    <s v="9989012154"/>
    <s v="STARBIRD CHICKEN - SOUTH SAN FRANCISCO"/>
    <n v="2"/>
    <x v="15"/>
  </r>
  <r>
    <d v="2025-01-07T00:00:00"/>
    <s v="9989012154"/>
    <s v="STARBIRD CHICKEN - SOUTH SAN FRANCISCO"/>
    <n v="2"/>
    <x v="12"/>
  </r>
  <r>
    <d v="2025-01-07T00:00:00"/>
    <s v="9989012154"/>
    <s v="STARBIRD CHICKEN - SOUTH SAN FRANCISCO"/>
    <n v="3"/>
    <x v="10"/>
  </r>
  <r>
    <d v="2025-01-07T00:00:00"/>
    <s v="9989012154"/>
    <s v="STARBIRD CHICKEN - SOUTH SAN FRANCISCO"/>
    <n v="2"/>
    <x v="17"/>
  </r>
  <r>
    <d v="2025-01-07T00:00:00"/>
    <s v="9989012154"/>
    <s v="STARBIRD CHICKEN - SOUTH SAN FRANCISCO"/>
    <n v="2"/>
    <x v="7"/>
  </r>
  <r>
    <d v="2025-01-07T00:00:00"/>
    <s v="9989012154"/>
    <s v="STARBIRD CHICKEN - SOUTH SAN FRANCISCO"/>
    <n v="2"/>
    <x v="1"/>
  </r>
  <r>
    <d v="2025-01-07T00:00:00"/>
    <s v="9989012154"/>
    <s v="STARBIRD CHICKEN - SOUTH SAN FRANCISCO"/>
    <n v="2"/>
    <x v="11"/>
  </r>
  <r>
    <d v="2025-01-07T00:00:00"/>
    <s v="9989012154"/>
    <s v="STARBIRD CHICKEN - SOUTH SAN FRANCISCO"/>
    <n v="2"/>
    <x v="3"/>
  </r>
  <r>
    <d v="2025-01-07T00:00:00"/>
    <s v="9989012155"/>
    <s v="BALBOA THEATER"/>
    <n v="1"/>
    <x v="13"/>
  </r>
  <r>
    <d v="2025-01-07T00:00:00"/>
    <s v="9989012155"/>
    <s v="BALBOA THEATER"/>
    <n v="1"/>
    <x v="26"/>
  </r>
  <r>
    <d v="2025-01-07T00:00:00"/>
    <s v="9989012155"/>
    <s v="BALBOA THEATER"/>
    <n v="1"/>
    <x v="8"/>
  </r>
  <r>
    <d v="2025-01-07T00:00:00"/>
    <s v="9989012155"/>
    <s v="BALBOA THEATER"/>
    <n v="1"/>
    <x v="15"/>
  </r>
  <r>
    <d v="2025-01-07T00:00:00"/>
    <s v="9989012155"/>
    <s v="BALBOA THEATER"/>
    <n v="1"/>
    <x v="12"/>
  </r>
  <r>
    <d v="2025-01-07T00:00:00"/>
    <s v="9989012155"/>
    <s v="BALBOA THEATER"/>
    <n v="1"/>
    <x v="5"/>
  </r>
  <r>
    <d v="2025-01-07T00:00:00"/>
    <s v="9989012155"/>
    <s v="BALBOA THEATER"/>
    <n v="1"/>
    <x v="10"/>
  </r>
  <r>
    <d v="2025-01-07T00:00:00"/>
    <s v="9989012156"/>
    <s v="UCSF MEDICAL CENTER PARNASSUS"/>
    <n v="1"/>
    <x v="32"/>
  </r>
  <r>
    <d v="2025-01-07T00:00:00"/>
    <s v="9989012156"/>
    <s v="UCSF MEDICAL CENTER PARNASSUS"/>
    <n v="1"/>
    <x v="35"/>
  </r>
  <r>
    <d v="2025-01-07T00:00:00"/>
    <s v="9989012156"/>
    <s v="UCSF MEDICAL CENTER PARNASSUS"/>
    <n v="2"/>
    <x v="34"/>
  </r>
  <r>
    <d v="2025-01-07T00:00:00"/>
    <s v="9989012156"/>
    <s v="UCSF MEDICAL CENTER PARNASSUS"/>
    <n v="1"/>
    <x v="36"/>
  </r>
  <r>
    <d v="2025-01-07T00:00:00"/>
    <s v="9989012157"/>
    <s v="THE DEAD FISH"/>
    <n v="1"/>
    <x v="26"/>
  </r>
  <r>
    <d v="2025-01-07T00:00:00"/>
    <s v="9989012157"/>
    <s v="THE DEAD FISH"/>
    <n v="1"/>
    <x v="13"/>
  </r>
  <r>
    <d v="2025-01-07T00:00:00"/>
    <s v="9989012157"/>
    <s v="THE DEAD FISH"/>
    <n v="1"/>
    <x v="27"/>
  </r>
  <r>
    <d v="2025-01-07T00:00:00"/>
    <s v="9989012157"/>
    <s v="THE DEAD FISH"/>
    <n v="1"/>
    <x v="7"/>
  </r>
  <r>
    <d v="2025-01-07T00:00:00"/>
    <s v="9989012157"/>
    <s v="THE DEAD FISH"/>
    <n v="1"/>
    <x v="24"/>
  </r>
  <r>
    <d v="2025-01-07T00:00:00"/>
    <s v="9989012157"/>
    <s v="THE DEAD FISH"/>
    <n v="1"/>
    <x v="19"/>
  </r>
  <r>
    <d v="2025-01-07T00:00:00"/>
    <s v="9989012157"/>
    <s v="THE DEAD FISH"/>
    <n v="1"/>
    <x v="14"/>
  </r>
  <r>
    <d v="2025-01-07T00:00:00"/>
    <s v="9989012158"/>
    <s v="DS GIANT BURGERS"/>
    <n v="1"/>
    <x v="8"/>
  </r>
  <r>
    <d v="2025-01-07T00:00:00"/>
    <s v="9989012158"/>
    <s v="DS GIANT BURGERS"/>
    <n v="1"/>
    <x v="12"/>
  </r>
  <r>
    <d v="2025-01-07T00:00:00"/>
    <s v="9989012158"/>
    <s v="DS GIANT BURGERS"/>
    <n v="1"/>
    <x v="30"/>
  </r>
  <r>
    <d v="2025-01-07T00:00:00"/>
    <s v="9989012158"/>
    <s v="DS GIANT BURGERS"/>
    <n v="1"/>
    <x v="7"/>
  </r>
  <r>
    <d v="2025-01-07T00:00:00"/>
    <s v="9989012158"/>
    <s v="DS GIANT BURGERS"/>
    <n v="1"/>
    <x v="6"/>
  </r>
  <r>
    <d v="2025-01-07T00:00:00"/>
    <s v="9989012159"/>
    <s v="ANTLERS"/>
    <n v="1"/>
    <x v="26"/>
  </r>
  <r>
    <d v="2025-01-07T00:00:00"/>
    <s v="9989012159"/>
    <s v="ANTLERS"/>
    <n v="1"/>
    <x v="13"/>
  </r>
  <r>
    <d v="2025-01-07T00:00:00"/>
    <s v="9989012159"/>
    <s v="ANTLERS"/>
    <n v="1"/>
    <x v="14"/>
  </r>
  <r>
    <d v="2025-01-07T00:00:00"/>
    <s v="9989012160"/>
    <s v="111 MINNA GALLERY"/>
    <n v="2"/>
    <x v="15"/>
  </r>
  <r>
    <d v="2025-01-07T00:00:00"/>
    <s v="9989012160"/>
    <s v="111 MINNA GALLERY"/>
    <n v="1"/>
    <x v="12"/>
  </r>
  <r>
    <d v="2025-01-07T00:00:00"/>
    <s v="9989012160"/>
    <s v="111 MINNA GALLERY"/>
    <n v="3"/>
    <x v="10"/>
  </r>
  <r>
    <d v="2025-01-07T00:00:00"/>
    <s v="9989012160"/>
    <s v="111 MINNA GALLERY"/>
    <n v="1"/>
    <x v="18"/>
  </r>
  <r>
    <d v="2025-01-07T00:00:00"/>
    <s v="9989012160"/>
    <s v="111 MINNA GALLERY"/>
    <n v="2"/>
    <x v="14"/>
  </r>
  <r>
    <d v="2025-01-07T00:00:00"/>
    <s v="9989012161"/>
    <s v="THE RANCHO SALOON"/>
    <n v="1"/>
    <x v="8"/>
  </r>
  <r>
    <d v="2025-01-07T00:00:00"/>
    <s v="9989012161"/>
    <s v="THE RANCHO SALOON"/>
    <n v="1"/>
    <x v="19"/>
  </r>
  <r>
    <d v="2025-01-07T00:00:00"/>
    <s v="9989012161"/>
    <s v="THE RANCHO SALOON"/>
    <n v="1"/>
    <x v="22"/>
  </r>
  <r>
    <d v="2025-01-07T00:00:00"/>
    <s v="9989012163"/>
    <s v="THE COMET"/>
    <n v="1"/>
    <x v="12"/>
  </r>
  <r>
    <d v="2025-01-07T00:00:00"/>
    <s v="9989012163"/>
    <s v="THE COMET"/>
    <n v="1"/>
    <x v="7"/>
  </r>
  <r>
    <d v="2025-01-07T00:00:00"/>
    <s v="9989012165"/>
    <s v="CLUB MALIBU"/>
    <n v="1"/>
    <x v="21"/>
  </r>
  <r>
    <d v="2025-01-07T00:00:00"/>
    <s v="9989012165"/>
    <s v="CLUB MALIBU"/>
    <n v="2"/>
    <x v="28"/>
  </r>
  <r>
    <d v="2025-01-07T00:00:00"/>
    <s v="9989012167"/>
    <s v="MISSOURI LOUNGE &amp; CAFE"/>
    <n v="1"/>
    <x v="8"/>
  </r>
  <r>
    <d v="2025-01-07T00:00:00"/>
    <s v="9989012167"/>
    <s v="MISSOURI LOUNGE &amp; CAFE"/>
    <n v="1"/>
    <x v="18"/>
  </r>
  <r>
    <d v="2025-01-07T00:00:00"/>
    <s v="9989012167"/>
    <s v="MISSOURI LOUNGE &amp; CAFE"/>
    <n v="1"/>
    <x v="10"/>
  </r>
  <r>
    <d v="2025-01-07T00:00:00"/>
    <s v="9989012169"/>
    <s v="THE MELT (GAS LAMP SAN DIEGO)"/>
    <n v="1"/>
    <x v="16"/>
  </r>
  <r>
    <d v="2025-01-07T00:00:00"/>
    <s v="9989012169"/>
    <s v="THE MELT (GAS LAMP SAN DIEGO)"/>
    <n v="2"/>
    <x v="8"/>
  </r>
  <r>
    <d v="2025-01-07T00:00:00"/>
    <s v="9989012169"/>
    <s v="THE MELT (GAS LAMP SAN DIEGO)"/>
    <n v="1"/>
    <x v="15"/>
  </r>
  <r>
    <d v="2025-01-07T00:00:00"/>
    <s v="9989012169"/>
    <s v="THE MELT (GAS LAMP SAN DIEGO)"/>
    <n v="1"/>
    <x v="10"/>
  </r>
  <r>
    <d v="2025-01-07T00:00:00"/>
    <s v="9989012169"/>
    <s v="THE MELT (GAS LAMP SAN DIEGO)"/>
    <n v="1"/>
    <x v="12"/>
  </r>
  <r>
    <d v="2025-01-07T00:00:00"/>
    <s v="9989012169"/>
    <s v="THE MELT (GAS LAMP SAN DIEGO)"/>
    <n v="1"/>
    <x v="9"/>
  </r>
  <r>
    <d v="2025-01-07T00:00:00"/>
    <s v="9989012169"/>
    <s v="THE MELT (GAS LAMP SAN DIEGO)"/>
    <n v="2"/>
    <x v="5"/>
  </r>
  <r>
    <d v="2025-01-07T00:00:00"/>
    <s v="9989012170"/>
    <s v="THE AVENUE"/>
    <n v="1"/>
    <x v="8"/>
  </r>
  <r>
    <d v="2025-01-07T00:00:00"/>
    <s v="9989012170"/>
    <s v="THE AVENUE"/>
    <n v="1"/>
    <x v="19"/>
  </r>
  <r>
    <d v="2025-01-07T00:00:00"/>
    <s v="9989012170"/>
    <s v="THE AVENUE"/>
    <n v="1"/>
    <x v="10"/>
  </r>
  <r>
    <d v="2025-01-07T00:00:00"/>
    <s v="9989012171"/>
    <s v="THE MELT (LA JOLLA)"/>
    <n v="2"/>
    <x v="16"/>
  </r>
  <r>
    <d v="2025-01-07T00:00:00"/>
    <s v="9989012171"/>
    <s v="THE MELT (LA JOLLA)"/>
    <n v="1"/>
    <x v="8"/>
  </r>
  <r>
    <d v="2025-01-07T00:00:00"/>
    <s v="9989012171"/>
    <s v="THE MELT (LA JOLLA)"/>
    <n v="1"/>
    <x v="10"/>
  </r>
  <r>
    <d v="2025-01-07T00:00:00"/>
    <s v="9989012171"/>
    <s v="THE MELT (LA JOLLA)"/>
    <n v="2"/>
    <x v="12"/>
  </r>
  <r>
    <d v="2025-01-07T00:00:00"/>
    <s v="9989012171"/>
    <s v="THE MELT (LA JOLLA)"/>
    <n v="1"/>
    <x v="9"/>
  </r>
  <r>
    <d v="2025-01-07T00:00:00"/>
    <s v="9989012171"/>
    <s v="THE MELT (LA JOLLA)"/>
    <n v="2"/>
    <x v="5"/>
  </r>
  <r>
    <d v="2025-01-07T00:00:00"/>
    <s v="9989012172"/>
    <s v="STARBIRD CHICKEN - HERMOSA BEACH"/>
    <n v="1"/>
    <x v="8"/>
  </r>
  <r>
    <d v="2025-01-07T00:00:00"/>
    <s v="9989012172"/>
    <s v="STARBIRD CHICKEN - HERMOSA BEACH"/>
    <n v="1"/>
    <x v="5"/>
  </r>
  <r>
    <d v="2025-01-07T00:00:00"/>
    <s v="9989012172"/>
    <s v="STARBIRD CHICKEN - HERMOSA BEACH"/>
    <n v="1"/>
    <x v="1"/>
  </r>
  <r>
    <d v="2025-01-07T00:00:00"/>
    <s v="9989012172"/>
    <s v="STARBIRD CHICKEN - HERMOSA BEACH"/>
    <n v="1"/>
    <x v="3"/>
  </r>
  <r>
    <d v="2025-01-07T00:00:00"/>
    <s v="9989012172"/>
    <s v="STARBIRD CHICKEN - HERMOSA BEACH"/>
    <n v="1"/>
    <x v="4"/>
  </r>
  <r>
    <d v="2025-01-07T00:00:00"/>
    <s v="9989012173"/>
    <s v="STARBIRD CHICKEN - MARINA DEL REY"/>
    <n v="2"/>
    <x v="5"/>
  </r>
  <r>
    <d v="2025-01-07T00:00:00"/>
    <s v="9989012173"/>
    <s v="STARBIRD CHICKEN - MARINA DEL REY"/>
    <n v="2"/>
    <x v="15"/>
  </r>
  <r>
    <d v="2025-01-07T00:00:00"/>
    <s v="9989012174"/>
    <s v="THE DEAD FISH"/>
    <n v="3"/>
    <x v="19"/>
  </r>
  <r>
    <d v="2025-01-07T00:00:00"/>
    <s v="9989012175"/>
    <s v="CAMERONS RESTAURANT &amp; PUB"/>
    <n v="2"/>
    <x v="8"/>
  </r>
  <r>
    <d v="2025-01-07T00:00:00"/>
    <s v="9989012175"/>
    <s v="CAMERONS RESTAURANT &amp; PUB"/>
    <n v="1"/>
    <x v="15"/>
  </r>
  <r>
    <d v="2025-01-07T00:00:00"/>
    <s v="9989012175"/>
    <s v="CAMERONS RESTAURANT &amp; PUB"/>
    <n v="1"/>
    <x v="14"/>
  </r>
  <r>
    <d v="2025-01-07T00:00:00"/>
    <s v="9989012175"/>
    <s v="CAMERONS RESTAURANT &amp; PUB"/>
    <n v="2"/>
    <x v="24"/>
  </r>
  <r>
    <d v="2025-01-07T00:00:00"/>
    <s v="9989012175"/>
    <s v="CAMERONS RESTAURANT &amp; PUB"/>
    <n v="1"/>
    <x v="12"/>
  </r>
  <r>
    <d v="2025-01-07T00:00:00"/>
    <s v="9989012176"/>
    <s v="VJ'S SPORTS AND PIZZA"/>
    <n v="1"/>
    <x v="13"/>
  </r>
  <r>
    <d v="2025-01-07T00:00:00"/>
    <s v="9989012176"/>
    <s v="VJ'S SPORTS AND PIZZA"/>
    <n v="1"/>
    <x v="15"/>
  </r>
  <r>
    <d v="2025-01-07T00:00:00"/>
    <s v="9989012177"/>
    <s v="HELLO STRANGER"/>
    <n v="4"/>
    <x v="28"/>
  </r>
  <r>
    <d v="2025-01-07T00:00:00"/>
    <s v="9989012177"/>
    <s v="HELLO STRANGER"/>
    <n v="1"/>
    <x v="27"/>
  </r>
  <r>
    <d v="2025-01-07T00:00:00"/>
    <s v="9989012178"/>
    <s v="THE STAR ON GRAND"/>
    <n v="1"/>
    <x v="12"/>
  </r>
  <r>
    <d v="2025-01-07T00:00:00"/>
    <s v="9989012178"/>
    <s v="THE STAR ON GRAND"/>
    <n v="1"/>
    <x v="9"/>
  </r>
  <r>
    <d v="2025-01-07T00:00:00"/>
    <s v="9989012178"/>
    <s v="THE STAR ON GRAND"/>
    <n v="1"/>
    <x v="8"/>
  </r>
  <r>
    <d v="2025-01-07T00:00:00"/>
    <s v="9989012179"/>
    <s v="HEINOLDS FIRST AND LAST CHANCE"/>
    <n v="1"/>
    <x v="18"/>
  </r>
  <r>
    <d v="2025-01-07T00:00:00"/>
    <s v="9989012179"/>
    <s v="HEINOLDS FIRST AND LAST CHANCE"/>
    <n v="1"/>
    <x v="11"/>
  </r>
  <r>
    <d v="2025-01-07T00:00:00"/>
    <s v="9989012181"/>
    <s v="STARBIRD CHICKEN - FAIRFAX"/>
    <n v="1"/>
    <x v="8"/>
  </r>
  <r>
    <d v="2025-01-07T00:00:00"/>
    <s v="9989012181"/>
    <s v="STARBIRD CHICKEN - FAIRFAX"/>
    <n v="1"/>
    <x v="10"/>
  </r>
  <r>
    <d v="2025-01-07T00:00:00"/>
    <s v="9989012181"/>
    <s v="STARBIRD CHICKEN - FAIRFAX"/>
    <n v="1"/>
    <x v="17"/>
  </r>
  <r>
    <d v="2025-01-07T00:00:00"/>
    <s v="9989012181"/>
    <s v="STARBIRD CHICKEN - FAIRFAX"/>
    <n v="1"/>
    <x v="11"/>
  </r>
  <r>
    <d v="2025-01-07T00:00:00"/>
    <s v="9989012181"/>
    <s v="STARBIRD CHICKEN - FAIRFAX"/>
    <n v="1"/>
    <x v="1"/>
  </r>
  <r>
    <d v="2025-01-07T00:00:00"/>
    <s v="9989012181"/>
    <s v="STARBIRD CHICKEN - FAIRFAX"/>
    <n v="1"/>
    <x v="3"/>
  </r>
  <r>
    <d v="2025-01-07T00:00:00"/>
    <s v="9989012181"/>
    <s v="STARBIRD CHICKEN - FAIRFAX"/>
    <n v="1"/>
    <x v="4"/>
  </r>
  <r>
    <d v="2025-01-07T00:00:00"/>
    <s v="9989012182"/>
    <s v="THE MELT (7TH @ FIG)"/>
    <n v="1"/>
    <x v="16"/>
  </r>
  <r>
    <d v="2025-01-07T00:00:00"/>
    <s v="9989012182"/>
    <s v="THE MELT (7TH @ FIG)"/>
    <n v="1"/>
    <x v="8"/>
  </r>
  <r>
    <d v="2025-01-07T00:00:00"/>
    <s v="9989012182"/>
    <s v="THE MELT (7TH @ FIG)"/>
    <n v="1"/>
    <x v="15"/>
  </r>
  <r>
    <d v="2025-01-07T00:00:00"/>
    <s v="9989012182"/>
    <s v="THE MELT (7TH @ FIG)"/>
    <n v="1"/>
    <x v="10"/>
  </r>
  <r>
    <d v="2025-01-07T00:00:00"/>
    <s v="9989012182"/>
    <s v="THE MELT (7TH @ FIG)"/>
    <n v="1"/>
    <x v="12"/>
  </r>
  <r>
    <d v="2025-01-07T00:00:00"/>
    <s v="9989012182"/>
    <s v="THE MELT (7TH @ FIG)"/>
    <n v="1"/>
    <x v="5"/>
  </r>
  <r>
    <d v="2025-01-07T00:00:00"/>
    <s v="9989012182"/>
    <s v="THE MELT (7TH @ FIG)"/>
    <n v="1"/>
    <x v="9"/>
  </r>
  <r>
    <d v="2025-01-08T00:00:00"/>
    <s v="9989012183"/>
    <s v="TORANI"/>
    <n v="8"/>
    <x v="38"/>
  </r>
  <r>
    <d v="2025-01-08T00:00:00"/>
    <s v="9989012184"/>
    <s v="HEADLANDS BREWING - WALNUT CREEK"/>
    <n v="2"/>
    <x v="15"/>
  </r>
  <r>
    <d v="2025-01-08T00:00:00"/>
    <s v="9989012184"/>
    <s v="HEADLANDS BREWING - WALNUT CREEK"/>
    <n v="1"/>
    <x v="8"/>
  </r>
  <r>
    <d v="2025-01-08T00:00:00"/>
    <s v="9989012185"/>
    <s v="DIABLO FOODS"/>
    <n v="1"/>
    <x v="11"/>
  </r>
  <r>
    <d v="2025-01-08T00:00:00"/>
    <s v="9989012185"/>
    <s v="DIABLO FOODS"/>
    <n v="1"/>
    <x v="1"/>
  </r>
  <r>
    <d v="2025-01-08T00:00:00"/>
    <s v="9989012185"/>
    <s v="DIABLO FOODS"/>
    <n v="1"/>
    <x v="3"/>
  </r>
  <r>
    <d v="2025-01-08T00:00:00"/>
    <s v="9989012185"/>
    <s v="DIABLO FOODS"/>
    <n v="1"/>
    <x v="4"/>
  </r>
  <r>
    <d v="2025-01-08T00:00:00"/>
    <s v="9989012185"/>
    <s v="DIABLO FOODS"/>
    <n v="1"/>
    <x v="2"/>
  </r>
  <r>
    <d v="2025-01-08T00:00:00"/>
    <s v="9989012185"/>
    <s v="DIABLO FOODS"/>
    <n v="1"/>
    <x v="0"/>
  </r>
  <r>
    <d v="2025-01-08T00:00:00"/>
    <s v="9989012186"/>
    <s v="BEST WESTERN EL RANCHO INN"/>
    <n v="1"/>
    <x v="25"/>
  </r>
  <r>
    <d v="2025-01-08T00:00:00"/>
    <s v="9989012186"/>
    <s v="BEST WESTERN EL RANCHO INN"/>
    <n v="2"/>
    <x v="25"/>
  </r>
  <r>
    <d v="2025-01-08T00:00:00"/>
    <s v="9989012187"/>
    <s v="CAMINO'S"/>
    <n v="1"/>
    <x v="26"/>
  </r>
  <r>
    <d v="2025-01-08T00:00:00"/>
    <s v="9989012187"/>
    <s v="CAMINO'S"/>
    <n v="1"/>
    <x v="13"/>
  </r>
  <r>
    <d v="2025-01-08T00:00:00"/>
    <s v="9989012187"/>
    <s v="CAMINO'S"/>
    <n v="1"/>
    <x v="29"/>
  </r>
  <r>
    <d v="2025-01-08T00:00:00"/>
    <s v="9989012189"/>
    <s v="STATE OF MIND PUBLIC HOUSE REDWOOD CITY"/>
    <n v="1"/>
    <x v="7"/>
  </r>
  <r>
    <d v="2025-01-08T00:00:00"/>
    <s v="9989012189"/>
    <s v="STATE OF MIND PUBLIC HOUSE REDWOOD CITY"/>
    <n v="1"/>
    <x v="9"/>
  </r>
  <r>
    <d v="2025-01-08T00:00:00"/>
    <s v="9989012190"/>
    <s v="STARBIRD CHICKEN - WALNUT CREEK"/>
    <n v="2"/>
    <x v="8"/>
  </r>
  <r>
    <d v="2025-01-08T00:00:00"/>
    <s v="9989012190"/>
    <s v="STARBIRD CHICKEN - WALNUT CREEK"/>
    <n v="1"/>
    <x v="15"/>
  </r>
  <r>
    <d v="2025-01-08T00:00:00"/>
    <s v="9989012190"/>
    <s v="STARBIRD CHICKEN - WALNUT CREEK"/>
    <n v="2"/>
    <x v="12"/>
  </r>
  <r>
    <d v="2025-01-08T00:00:00"/>
    <s v="9989012190"/>
    <s v="STARBIRD CHICKEN - WALNUT CREEK"/>
    <n v="1"/>
    <x v="5"/>
  </r>
  <r>
    <d v="2025-01-08T00:00:00"/>
    <s v="9989012190"/>
    <s v="STARBIRD CHICKEN - WALNUT CREEK"/>
    <n v="1"/>
    <x v="17"/>
  </r>
  <r>
    <d v="2025-01-08T00:00:00"/>
    <s v="9989012190"/>
    <s v="STARBIRD CHICKEN - WALNUT CREEK"/>
    <n v="1"/>
    <x v="23"/>
  </r>
  <r>
    <d v="2025-01-08T00:00:00"/>
    <s v="9989012190"/>
    <s v="STARBIRD CHICKEN - WALNUT CREEK"/>
    <n v="2"/>
    <x v="1"/>
  </r>
  <r>
    <d v="2025-01-08T00:00:00"/>
    <s v="9989012190"/>
    <s v="STARBIRD CHICKEN - WALNUT CREEK"/>
    <n v="1"/>
    <x v="11"/>
  </r>
  <r>
    <d v="2025-01-08T00:00:00"/>
    <s v="9989012190"/>
    <s v="STARBIRD CHICKEN - WALNUT CREEK"/>
    <n v="2"/>
    <x v="4"/>
  </r>
  <r>
    <d v="2025-01-08T00:00:00"/>
    <s v="9989012190"/>
    <s v="STARBIRD CHICKEN - WALNUT CREEK"/>
    <n v="1"/>
    <x v="3"/>
  </r>
  <r>
    <d v="2025-01-08T00:00:00"/>
    <s v="9989012191"/>
    <s v="THE MELT (STANFORD)"/>
    <n v="1"/>
    <x v="8"/>
  </r>
  <r>
    <d v="2025-01-08T00:00:00"/>
    <s v="9989012191"/>
    <s v="THE MELT (STANFORD)"/>
    <n v="1"/>
    <x v="12"/>
  </r>
  <r>
    <d v="2025-01-08T00:00:00"/>
    <s v="9989012191"/>
    <s v="THE MELT (STANFORD)"/>
    <n v="1"/>
    <x v="10"/>
  </r>
  <r>
    <d v="2025-01-08T00:00:00"/>
    <s v="9989012192"/>
    <s v="STATE OF MIND PUBLIC HOUSE &amp; PIZZERIA (LOS ALTOS)"/>
    <n v="1"/>
    <x v="7"/>
  </r>
  <r>
    <d v="2025-01-08T00:00:00"/>
    <s v="9989012192"/>
    <s v="STATE OF MIND PUBLIC HOUSE &amp; PIZZERIA (LOS ALTOS)"/>
    <n v="1"/>
    <x v="9"/>
  </r>
  <r>
    <d v="2025-01-08T00:00:00"/>
    <s v="9989012192"/>
    <s v="STATE OF MIND PUBLIC HOUSE &amp; PIZZERIA (LOS ALTOS)"/>
    <n v="1"/>
    <x v="12"/>
  </r>
  <r>
    <d v="2025-01-08T00:00:00"/>
    <s v="9989012192"/>
    <s v="STATE OF MIND PUBLIC HOUSE &amp; PIZZERIA (LOS ALTOS)"/>
    <n v="1"/>
    <x v="19"/>
  </r>
  <r>
    <d v="2025-01-08T00:00:00"/>
    <s v="9989012193"/>
    <s v="MONTE CARLO"/>
    <n v="2"/>
    <x v="21"/>
  </r>
  <r>
    <d v="2025-01-08T00:00:00"/>
    <s v="9989012194"/>
    <s v="CALI KID BURGERS AND SHAKES"/>
    <n v="1"/>
    <x v="8"/>
  </r>
  <r>
    <d v="2025-01-08T00:00:00"/>
    <s v="9989012194"/>
    <s v="CALI KID BURGERS AND SHAKES"/>
    <n v="1"/>
    <x v="15"/>
  </r>
  <r>
    <d v="2025-01-08T00:00:00"/>
    <s v="9989012194"/>
    <s v="CALI KID BURGERS AND SHAKES"/>
    <n v="2"/>
    <x v="9"/>
  </r>
  <r>
    <d v="2025-01-08T00:00:00"/>
    <s v="9989012194"/>
    <s v="CALI KID BURGERS AND SHAKES"/>
    <n v="2"/>
    <x v="12"/>
  </r>
  <r>
    <d v="2025-01-08T00:00:00"/>
    <s v="9989012194"/>
    <s v="CALI KID BURGERS AND SHAKES"/>
    <n v="1"/>
    <x v="10"/>
  </r>
  <r>
    <d v="2025-01-08T00:00:00"/>
    <s v="9989012194"/>
    <s v="CALI KID BURGERS AND SHAKES"/>
    <n v="1"/>
    <x v="17"/>
  </r>
  <r>
    <d v="2025-01-08T00:00:00"/>
    <s v="9989012194"/>
    <s v="CALI KID BURGERS AND SHAKES"/>
    <n v="2"/>
    <x v="5"/>
  </r>
  <r>
    <d v="2025-01-08T00:00:00"/>
    <s v="9989012195"/>
    <s v="LUCKY 13"/>
    <n v="1"/>
    <x v="8"/>
  </r>
  <r>
    <d v="2025-01-08T00:00:00"/>
    <s v="9989012195"/>
    <s v="LUCKY 13"/>
    <n v="1"/>
    <x v="15"/>
  </r>
  <r>
    <d v="2025-01-08T00:00:00"/>
    <s v="9989012195"/>
    <s v="LUCKY 13"/>
    <n v="1"/>
    <x v="12"/>
  </r>
  <r>
    <d v="2025-01-08T00:00:00"/>
    <s v="9989012195"/>
    <s v="LUCKY 13"/>
    <n v="1"/>
    <x v="14"/>
  </r>
  <r>
    <d v="2025-01-08T00:00:00"/>
    <s v="9989012195"/>
    <s v="LUCKY 13"/>
    <n v="1"/>
    <x v="10"/>
  </r>
  <r>
    <d v="2025-01-08T00:00:00"/>
    <s v="9989012196"/>
    <s v="EAST BAY NATURAL GROCERY-CV"/>
    <n v="2"/>
    <x v="1"/>
  </r>
  <r>
    <d v="2025-01-08T00:00:00"/>
    <s v="9989012196"/>
    <s v="EAST BAY NATURAL GROCERY-CV"/>
    <n v="2"/>
    <x v="0"/>
  </r>
  <r>
    <d v="2025-01-08T00:00:00"/>
    <s v="9989012196"/>
    <s v="EAST BAY NATURAL GROCERY-CV"/>
    <n v="2"/>
    <x v="11"/>
  </r>
  <r>
    <d v="2025-01-08T00:00:00"/>
    <s v="9989012196"/>
    <s v="EAST BAY NATURAL GROCERY-CV"/>
    <n v="2"/>
    <x v="3"/>
  </r>
  <r>
    <d v="2025-01-08T00:00:00"/>
    <s v="9989012196"/>
    <s v="EAST BAY NATURAL GROCERY-CV"/>
    <n v="2"/>
    <x v="4"/>
  </r>
  <r>
    <d v="2025-01-08T00:00:00"/>
    <s v="9989012197"/>
    <s v="BEERYLAND -(TELEGRAPH BEER GARDEN)"/>
    <n v="1"/>
    <x v="8"/>
  </r>
  <r>
    <d v="2025-01-08T00:00:00"/>
    <s v="9989012197"/>
    <s v="BEERYLAND -(TELEGRAPH BEER GARDEN)"/>
    <n v="1"/>
    <x v="18"/>
  </r>
  <r>
    <d v="2025-01-08T00:00:00"/>
    <s v="9989012197"/>
    <s v="BEERYLAND -(TELEGRAPH BEER GARDEN)"/>
    <n v="1"/>
    <x v="14"/>
  </r>
  <r>
    <d v="2025-01-08T00:00:00"/>
    <s v="9989012197"/>
    <s v="BEERYLAND -(TELEGRAPH BEER GARDEN)"/>
    <n v="1"/>
    <x v="10"/>
  </r>
  <r>
    <d v="2025-01-08T00:00:00"/>
    <s v="9989012198"/>
    <s v="HEINOLDS FIRST AND LAST CHANCE"/>
    <n v="1"/>
    <x v="10"/>
  </r>
  <r>
    <d v="2025-01-08T00:00:00"/>
    <s v="9989012199"/>
    <s v="LUNA LOCA (JAINS FOODS)"/>
    <n v="2"/>
    <x v="8"/>
  </r>
  <r>
    <d v="2025-01-08T00:00:00"/>
    <s v="9989012199"/>
    <s v="LUNA LOCA (JAINS FOODS)"/>
    <n v="1"/>
    <x v="12"/>
  </r>
  <r>
    <d v="2025-01-08T00:00:00"/>
    <s v="9989012199"/>
    <s v="LUNA LOCA (JAINS FOODS)"/>
    <n v="1"/>
    <x v="15"/>
  </r>
  <r>
    <d v="2025-01-08T00:00:00"/>
    <s v="9989012199"/>
    <s v="LUNA LOCA (JAINS FOODS)"/>
    <n v="1"/>
    <x v="14"/>
  </r>
  <r>
    <d v="2025-01-08T00:00:00"/>
    <s v="9989012200"/>
    <s v="THE MELT (DANVILLE)"/>
    <n v="1"/>
    <x v="15"/>
  </r>
  <r>
    <d v="2025-01-08T00:00:00"/>
    <s v="9989012200"/>
    <s v="THE MELT (DANVILLE)"/>
    <n v="1"/>
    <x v="8"/>
  </r>
  <r>
    <d v="2025-01-08T00:00:00"/>
    <s v="9989012200"/>
    <s v="THE MELT (DANVILLE)"/>
    <n v="1"/>
    <x v="12"/>
  </r>
  <r>
    <d v="2025-01-08T00:00:00"/>
    <s v="9989012200"/>
    <s v="THE MELT (DANVILLE)"/>
    <n v="1"/>
    <x v="5"/>
  </r>
  <r>
    <d v="2025-01-08T00:00:00"/>
    <s v="9989012200"/>
    <s v="THE MELT (DANVILLE)"/>
    <n v="1"/>
    <x v="9"/>
  </r>
  <r>
    <d v="2025-01-08T00:00:00"/>
    <s v="9989012200"/>
    <s v="THE MELT (DANVILLE)"/>
    <n v="1"/>
    <x v="16"/>
  </r>
  <r>
    <d v="2025-01-08T00:00:00"/>
    <s v="9989012201"/>
    <s v="CAPTAINS CHEST"/>
    <n v="2"/>
    <x v="8"/>
  </r>
  <r>
    <d v="2025-01-08T00:00:00"/>
    <s v="9989012201"/>
    <s v="CAPTAINS CHEST"/>
    <n v="1"/>
    <x v="15"/>
  </r>
  <r>
    <d v="2025-01-08T00:00:00"/>
    <s v="9989012201"/>
    <s v="CAPTAINS CHEST"/>
    <n v="1"/>
    <x v="12"/>
  </r>
  <r>
    <d v="2025-01-08T00:00:00"/>
    <s v="9989012201"/>
    <s v="CAPTAINS CHEST"/>
    <n v="1"/>
    <x v="19"/>
  </r>
  <r>
    <d v="2025-01-08T00:00:00"/>
    <s v="9989012201"/>
    <s v="CAPTAINS CHEST"/>
    <n v="1"/>
    <x v="18"/>
  </r>
  <r>
    <d v="2025-01-08T00:00:00"/>
    <s v="9989012201"/>
    <s v="CAPTAINS CHEST"/>
    <n v="1"/>
    <x v="14"/>
  </r>
  <r>
    <d v="2025-01-08T00:00:00"/>
    <s v="9989012202"/>
    <s v="CANYON CLUB BREWERY"/>
    <n v="1"/>
    <x v="14"/>
  </r>
  <r>
    <d v="2025-01-08T00:00:00"/>
    <s v="9989012202"/>
    <s v="CANYON CLUB BREWERY"/>
    <n v="1"/>
    <x v="7"/>
  </r>
  <r>
    <d v="2025-01-09T00:00:00"/>
    <s v="9989012204"/>
    <s v="SALTYARD RESTAURANT &amp; BAR"/>
    <n v="1"/>
    <x v="7"/>
  </r>
  <r>
    <d v="2025-01-09T00:00:00"/>
    <s v="9989012204"/>
    <s v="SALTYARD RESTAURANT &amp; BAR"/>
    <n v="1"/>
    <x v="21"/>
  </r>
  <r>
    <d v="2025-01-09T00:00:00"/>
    <s v="9989012205"/>
    <s v="CITY NIGHTS"/>
    <n v="2"/>
    <x v="28"/>
  </r>
  <r>
    <d v="2025-01-09T00:00:00"/>
    <s v="9989012205"/>
    <s v="CITY NIGHTS"/>
    <n v="1"/>
    <x v="12"/>
  </r>
  <r>
    <d v="2025-01-09T00:00:00"/>
    <s v="9989012205"/>
    <s v="CITY NIGHTS"/>
    <n v="1"/>
    <x v="8"/>
  </r>
  <r>
    <d v="2025-01-09T00:00:00"/>
    <s v="9989012205"/>
    <s v="CITY NIGHTS"/>
    <n v="1"/>
    <x v="14"/>
  </r>
  <r>
    <d v="2025-01-09T00:00:00"/>
    <s v="9989012206"/>
    <s v="SLICE HOUSE"/>
    <n v="1"/>
    <x v="13"/>
  </r>
  <r>
    <d v="2025-01-09T00:00:00"/>
    <s v="9989012206"/>
    <s v="SLICE HOUSE"/>
    <n v="1"/>
    <x v="7"/>
  </r>
  <r>
    <d v="2025-01-09T00:00:00"/>
    <s v="9989012207"/>
    <s v="DELTA CINEMAS"/>
    <n v="1"/>
    <x v="7"/>
  </r>
  <r>
    <d v="2025-01-09T00:00:00"/>
    <s v="9989012207"/>
    <s v="DELTA CINEMAS"/>
    <n v="1"/>
    <x v="16"/>
  </r>
  <r>
    <d v="2025-01-09T00:00:00"/>
    <s v="9989012207"/>
    <s v="DELTA CINEMAS"/>
    <n v="2"/>
    <x v="13"/>
  </r>
  <r>
    <d v="2025-01-09T00:00:00"/>
    <s v="9989012207"/>
    <s v="DELTA CINEMAS"/>
    <n v="2"/>
    <x v="26"/>
  </r>
  <r>
    <d v="2025-01-09T00:00:00"/>
    <s v="9989012207"/>
    <s v="DELTA CINEMAS"/>
    <n v="2"/>
    <x v="27"/>
  </r>
  <r>
    <d v="2025-01-09T00:00:00"/>
    <s v="9989012208"/>
    <s v="MONROE"/>
    <n v="2"/>
    <x v="18"/>
  </r>
  <r>
    <d v="2025-01-09T00:00:00"/>
    <s v="9989012208"/>
    <s v="MONROE"/>
    <n v="1"/>
    <x v="8"/>
  </r>
  <r>
    <d v="2025-01-09T00:00:00"/>
    <s v="9989012208"/>
    <s v="MONROE"/>
    <n v="1"/>
    <x v="12"/>
  </r>
  <r>
    <d v="2025-01-09T00:00:00"/>
    <s v="9989012208"/>
    <s v="MONROE"/>
    <n v="1"/>
    <x v="28"/>
  </r>
  <r>
    <d v="2025-01-09T00:00:00"/>
    <s v="9989012208"/>
    <s v="MONROE"/>
    <n v="1"/>
    <x v="14"/>
  </r>
  <r>
    <d v="2025-01-09T00:00:00"/>
    <s v="9989012209"/>
    <s v="GREAT AMERICAN MUSIC HALL"/>
    <n v="2"/>
    <x v="8"/>
  </r>
  <r>
    <d v="2025-01-09T00:00:00"/>
    <s v="9989012209"/>
    <s v="GREAT AMERICAN MUSIC HALL"/>
    <n v="1"/>
    <x v="15"/>
  </r>
  <r>
    <d v="2025-01-09T00:00:00"/>
    <s v="9989012209"/>
    <s v="GREAT AMERICAN MUSIC HALL"/>
    <n v="1"/>
    <x v="12"/>
  </r>
  <r>
    <d v="2025-01-09T00:00:00"/>
    <s v="9989012209"/>
    <s v="GREAT AMERICAN MUSIC HALL"/>
    <n v="1"/>
    <x v="14"/>
  </r>
  <r>
    <d v="2025-01-09T00:00:00"/>
    <s v="9989012209"/>
    <s v="GREAT AMERICAN MUSIC HALL"/>
    <n v="1"/>
    <x v="10"/>
  </r>
  <r>
    <d v="2025-01-09T00:00:00"/>
    <s v="9989012210"/>
    <s v="STARBIRD CHICKEN-CUPERTINO"/>
    <n v="2"/>
    <x v="8"/>
  </r>
  <r>
    <d v="2025-01-09T00:00:00"/>
    <s v="9989012210"/>
    <s v="STARBIRD CHICKEN-CUPERTINO"/>
    <n v="2"/>
    <x v="17"/>
  </r>
  <r>
    <d v="2025-01-09T00:00:00"/>
    <s v="9989012210"/>
    <s v="STARBIRD CHICKEN-CUPERTINO"/>
    <n v="1"/>
    <x v="15"/>
  </r>
  <r>
    <d v="2025-01-09T00:00:00"/>
    <s v="9989012210"/>
    <s v="STARBIRD CHICKEN-CUPERTINO"/>
    <n v="1"/>
    <x v="12"/>
  </r>
  <r>
    <d v="2025-01-09T00:00:00"/>
    <s v="9989012210"/>
    <s v="STARBIRD CHICKEN-CUPERTINO"/>
    <n v="1"/>
    <x v="5"/>
  </r>
  <r>
    <d v="2025-01-09T00:00:00"/>
    <s v="9989012210"/>
    <s v="STARBIRD CHICKEN-CUPERTINO"/>
    <n v="1"/>
    <x v="23"/>
  </r>
  <r>
    <d v="2025-01-09T00:00:00"/>
    <s v="9989012210"/>
    <s v="STARBIRD CHICKEN-CUPERTINO"/>
    <n v="2"/>
    <x v="10"/>
  </r>
  <r>
    <d v="2025-01-09T00:00:00"/>
    <s v="9989012210"/>
    <s v="STARBIRD CHICKEN-CUPERTINO"/>
    <n v="1"/>
    <x v="1"/>
  </r>
  <r>
    <d v="2025-01-09T00:00:00"/>
    <s v="9989012210"/>
    <s v="STARBIRD CHICKEN-CUPERTINO"/>
    <n v="1"/>
    <x v="4"/>
  </r>
  <r>
    <d v="2025-01-09T00:00:00"/>
    <s v="9989012211"/>
    <s v="STRAITS SANTANA ROW"/>
    <n v="1"/>
    <x v="15"/>
  </r>
  <r>
    <d v="2025-01-09T00:00:00"/>
    <s v="9989012211"/>
    <s v="STRAITS SANTANA ROW"/>
    <n v="1"/>
    <x v="12"/>
  </r>
  <r>
    <d v="2025-01-09T00:00:00"/>
    <s v="9989012211"/>
    <s v="STRAITS SANTANA ROW"/>
    <n v="2"/>
    <x v="28"/>
  </r>
  <r>
    <d v="2025-01-09T00:00:00"/>
    <s v="9989012212"/>
    <s v="TEMPLE BAR -SFO"/>
    <n v="1"/>
    <x v="14"/>
  </r>
  <r>
    <d v="2025-01-09T00:00:00"/>
    <s v="9989012213"/>
    <s v="BRIX BEVERAGE - SAMPLING"/>
    <n v="2"/>
    <x v="3"/>
  </r>
  <r>
    <d v="2025-01-09T00:00:00"/>
    <s v="9989012213"/>
    <s v="BRIX BEVERAGE - SAMPLING"/>
    <n v="1"/>
    <x v="1"/>
  </r>
  <r>
    <d v="2025-01-09T00:00:00"/>
    <s v="9989012214"/>
    <s v="TOP DOG #3 LAK"/>
    <n v="2"/>
    <x v="27"/>
  </r>
  <r>
    <d v="2025-01-09T00:00:00"/>
    <s v="9989012214"/>
    <s v="TOP DOG #3 LAK"/>
    <n v="2"/>
    <x v="13"/>
  </r>
  <r>
    <d v="2025-01-09T00:00:00"/>
    <s v="9989012214"/>
    <s v="TOP DOG #3 LAK"/>
    <n v="1"/>
    <x v="26"/>
  </r>
  <r>
    <d v="2025-01-09T00:00:00"/>
    <s v="9989012214"/>
    <s v="TOP DOG #3 LAK"/>
    <n v="3"/>
    <x v="5"/>
  </r>
  <r>
    <d v="2025-01-09T00:00:00"/>
    <s v="9989012214"/>
    <s v="TOP DOG #3 LAK"/>
    <n v="3"/>
    <x v="7"/>
  </r>
  <r>
    <d v="2025-01-09T00:00:00"/>
    <s v="9989012214"/>
    <s v="TOP DOG #3 LAK"/>
    <n v="1"/>
    <x v="29"/>
  </r>
  <r>
    <d v="2025-01-09T00:00:00"/>
    <s v="9989012215"/>
    <s v="BAL THEATER"/>
    <n v="1"/>
    <x v="15"/>
  </r>
  <r>
    <d v="2025-01-09T00:00:00"/>
    <s v="9989012215"/>
    <s v="BAL THEATER"/>
    <n v="1"/>
    <x v="8"/>
  </r>
  <r>
    <d v="2025-01-09T00:00:00"/>
    <s v="9989012216"/>
    <s v="BRONCO BILLY'S PIZZA PALACE FREMONT NILES"/>
    <n v="4"/>
    <x v="13"/>
  </r>
  <r>
    <d v="2025-01-09T00:00:00"/>
    <s v="9989012216"/>
    <s v="BRONCO BILLY'S PIZZA PALACE FREMONT NILES"/>
    <n v="2"/>
    <x v="26"/>
  </r>
  <r>
    <d v="2025-01-09T00:00:00"/>
    <s v="9989012216"/>
    <s v="BRONCO BILLY'S PIZZA PALACE FREMONT NILES"/>
    <n v="2"/>
    <x v="27"/>
  </r>
  <r>
    <d v="2025-01-09T00:00:00"/>
    <s v="9989012216"/>
    <s v="BRONCO BILLY'S PIZZA PALACE FREMONT NILES"/>
    <n v="1"/>
    <x v="5"/>
  </r>
  <r>
    <d v="2025-01-09T00:00:00"/>
    <s v="9989012216"/>
    <s v="BRONCO BILLY'S PIZZA PALACE FREMONT NILES"/>
    <n v="1"/>
    <x v="30"/>
  </r>
  <r>
    <d v="2025-01-09T00:00:00"/>
    <s v="9989012216"/>
    <s v="BRONCO BILLY'S PIZZA PALACE FREMONT NILES"/>
    <n v="1"/>
    <x v="9"/>
  </r>
  <r>
    <d v="2025-01-09T00:00:00"/>
    <s v="9989012216"/>
    <s v="BRONCO BILLY'S PIZZA PALACE FREMONT NILES"/>
    <n v="1"/>
    <x v="7"/>
  </r>
  <r>
    <d v="2025-01-09T00:00:00"/>
    <s v="9989012217"/>
    <s v="PIZZERIA PAPPO"/>
    <n v="1"/>
    <x v="2"/>
  </r>
  <r>
    <d v="2025-01-09T00:00:00"/>
    <s v="9989012217"/>
    <s v="PIZZERIA PAPPO"/>
    <n v="1"/>
    <x v="4"/>
  </r>
  <r>
    <d v="2025-01-09T00:00:00"/>
    <s v="9989012217"/>
    <s v="PIZZERIA PAPPO"/>
    <n v="1"/>
    <x v="1"/>
  </r>
  <r>
    <d v="2025-01-10T00:00:00"/>
    <s v="9989012218"/>
    <s v="THE PHOENIX ALAMEDA"/>
    <n v="2"/>
    <x v="4"/>
  </r>
  <r>
    <d v="2025-01-10T00:00:00"/>
    <s v="9989012218"/>
    <s v="THE PHOENIX ALAMEDA"/>
    <n v="2"/>
    <x v="1"/>
  </r>
  <r>
    <d v="2025-01-10T00:00:00"/>
    <s v="9989012218"/>
    <s v="THE PHOENIX ALAMEDA"/>
    <n v="1"/>
    <x v="3"/>
  </r>
  <r>
    <d v="2025-01-10T00:00:00"/>
    <s v="9989012218"/>
    <s v="THE PHOENIX ALAMEDA"/>
    <n v="1"/>
    <x v="11"/>
  </r>
  <r>
    <d v="2025-01-10T00:00:00"/>
    <s v="9989012219"/>
    <s v="SCOLARIS ON PARK ST"/>
    <n v="5"/>
    <x v="1"/>
  </r>
  <r>
    <d v="2025-01-10T00:00:00"/>
    <s v="9989012219"/>
    <s v="SCOLARIS ON PARK ST"/>
    <n v="4"/>
    <x v="3"/>
  </r>
  <r>
    <d v="2025-01-10T00:00:00"/>
    <s v="9989012219"/>
    <s v="SCOLARIS ON PARK ST"/>
    <n v="3"/>
    <x v="4"/>
  </r>
  <r>
    <d v="2025-01-10T00:00:00"/>
    <s v="9989012219"/>
    <s v="SCOLARIS ON PARK ST"/>
    <n v="6"/>
    <x v="2"/>
  </r>
  <r>
    <d v="2025-01-10T00:00:00"/>
    <s v="9989012220"/>
    <s v="EL TENAMPA"/>
    <n v="3"/>
    <x v="28"/>
  </r>
  <r>
    <d v="2025-01-10T00:00:00"/>
    <s v="9989012220"/>
    <s v="EL TENAMPA"/>
    <n v="1"/>
    <x v="14"/>
  </r>
  <r>
    <d v="2025-01-10T00:00:00"/>
    <s v="9989012221"/>
    <s v="STARBIRD CHICKEN - CORTE MADERA"/>
    <n v="2"/>
    <x v="15"/>
  </r>
  <r>
    <d v="2025-01-10T00:00:00"/>
    <s v="9989012221"/>
    <s v="STARBIRD CHICKEN - CORTE MADERA"/>
    <n v="1"/>
    <x v="12"/>
  </r>
  <r>
    <d v="2025-01-10T00:00:00"/>
    <s v="9989012221"/>
    <s v="STARBIRD CHICKEN - CORTE MADERA"/>
    <n v="1"/>
    <x v="17"/>
  </r>
  <r>
    <d v="2025-01-10T00:00:00"/>
    <s v="9989012224"/>
    <s v="THE JUNCTION"/>
    <n v="2"/>
    <x v="7"/>
  </r>
  <r>
    <d v="2025-01-10T00:00:00"/>
    <s v="9989012224"/>
    <s v="THE JUNCTION"/>
    <n v="1"/>
    <x v="25"/>
  </r>
  <r>
    <d v="2025-01-10T00:00:00"/>
    <s v="9989012225"/>
    <s v="MIMI'S CHOCOLATES"/>
    <n v="1"/>
    <x v="11"/>
  </r>
  <r>
    <d v="2025-01-10T00:00:00"/>
    <s v="9989012225"/>
    <s v="MIMI'S CHOCOLATES"/>
    <n v="1"/>
    <x v="1"/>
  </r>
  <r>
    <d v="2025-01-10T00:00:00"/>
    <s v="9989012225"/>
    <s v="MIMI'S CHOCOLATES"/>
    <n v="1"/>
    <x v="3"/>
  </r>
  <r>
    <d v="2025-01-10T00:00:00"/>
    <s v="9989012225"/>
    <s v="MIMI'S CHOCOLATES"/>
    <n v="1"/>
    <x v="0"/>
  </r>
  <r>
    <d v="2025-01-10T00:00:00"/>
    <s v="9989012225"/>
    <s v="MIMI'S CHOCOLATES"/>
    <n v="1"/>
    <x v="2"/>
  </r>
  <r>
    <d v="2025-01-10T00:00:00"/>
    <s v="9989012225"/>
    <s v="MIMI'S CHOCOLATES"/>
    <n v="1"/>
    <x v="4"/>
  </r>
  <r>
    <d v="2025-01-10T00:00:00"/>
    <s v="9989012226"/>
    <s v="THE LODGE"/>
    <n v="1"/>
    <x v="18"/>
  </r>
  <r>
    <d v="2025-01-10T00:00:00"/>
    <s v="9989012226"/>
    <s v="THE LODGE"/>
    <n v="1"/>
    <x v="15"/>
  </r>
  <r>
    <d v="2025-01-10T00:00:00"/>
    <s v="9989012226"/>
    <s v="THE LODGE"/>
    <n v="1"/>
    <x v="12"/>
  </r>
  <r>
    <d v="2025-01-10T00:00:00"/>
    <s v="9989012227"/>
    <s v="UC THEATER BERKELEY"/>
    <n v="1"/>
    <x v="8"/>
  </r>
  <r>
    <d v="2025-01-10T00:00:00"/>
    <s v="9989012227"/>
    <s v="UC THEATER BERKELEY"/>
    <n v="1"/>
    <x v="15"/>
  </r>
  <r>
    <d v="2025-01-10T00:00:00"/>
    <s v="9989012227"/>
    <s v="UC THEATER BERKELEY"/>
    <n v="1"/>
    <x v="19"/>
  </r>
  <r>
    <d v="2025-01-10T00:00:00"/>
    <s v="9989012227"/>
    <s v="UC THEATER BERKELEY"/>
    <n v="1"/>
    <x v="12"/>
  </r>
  <r>
    <d v="2025-01-10T00:00:00"/>
    <s v="9989012227"/>
    <s v="UC THEATER BERKELEY"/>
    <n v="1"/>
    <x v="14"/>
  </r>
  <r>
    <d v="2025-01-10T00:00:00"/>
    <s v="9989012228"/>
    <s v="GATHER"/>
    <n v="2"/>
    <x v="11"/>
  </r>
  <r>
    <d v="2025-01-10T00:00:00"/>
    <s v="9989012228"/>
    <s v="GATHER"/>
    <n v="3"/>
    <x v="1"/>
  </r>
  <r>
    <d v="2025-01-10T00:00:00"/>
    <s v="9989012229"/>
    <s v="BEN N' NICKS BAR AND GRILL"/>
    <n v="1"/>
    <x v="13"/>
  </r>
  <r>
    <d v="2025-01-10T00:00:00"/>
    <s v="9989012229"/>
    <s v="BEN N' NICKS BAR AND GRILL"/>
    <n v="1"/>
    <x v="10"/>
  </r>
  <r>
    <d v="2025-01-10T00:00:00"/>
    <s v="9989012230"/>
    <s v="DELTA CINEMAS"/>
    <n v="2"/>
    <x v="5"/>
  </r>
  <r>
    <d v="2025-01-13T00:00:00"/>
    <s v="9989012234"/>
    <s v="CALI'S SPORTS BAR"/>
    <n v="2"/>
    <x v="8"/>
  </r>
  <r>
    <d v="2025-01-13T00:00:00"/>
    <s v="9989012234"/>
    <s v="CALI'S SPORTS BAR"/>
    <n v="2"/>
    <x v="15"/>
  </r>
  <r>
    <d v="2025-01-13T00:00:00"/>
    <s v="9989012234"/>
    <s v="CALI'S SPORTS BAR"/>
    <n v="1"/>
    <x v="5"/>
  </r>
  <r>
    <d v="2025-01-13T00:00:00"/>
    <s v="9989012234"/>
    <s v="CALI'S SPORTS BAR"/>
    <n v="1"/>
    <x v="19"/>
  </r>
  <r>
    <d v="2025-01-13T00:00:00"/>
    <s v="9989012234"/>
    <s v="CALI'S SPORTS BAR"/>
    <n v="1"/>
    <x v="10"/>
  </r>
  <r>
    <d v="2025-01-13T00:00:00"/>
    <s v="9989012234"/>
    <s v="CALI'S SPORTS BAR"/>
    <n v="1"/>
    <x v="30"/>
  </r>
  <r>
    <d v="2025-01-13T00:00:00"/>
    <s v="9989012234"/>
    <s v="CALI'S SPORTS BAR"/>
    <n v="1"/>
    <x v="14"/>
  </r>
  <r>
    <d v="2025-01-13T00:00:00"/>
    <s v="9989012234"/>
    <s v="CALI'S SPORTS BAR"/>
    <n v="1"/>
    <x v="7"/>
  </r>
  <r>
    <d v="2025-01-13T00:00:00"/>
    <s v="9989012235"/>
    <s v="THE MELT (SACRAMENTO-BLVD)"/>
    <n v="2"/>
    <x v="16"/>
  </r>
  <r>
    <d v="2025-01-13T00:00:00"/>
    <s v="9989012235"/>
    <s v="THE MELT (SACRAMENTO-BLVD)"/>
    <n v="3"/>
    <x v="8"/>
  </r>
  <r>
    <d v="2025-01-13T00:00:00"/>
    <s v="9989012235"/>
    <s v="THE MELT (SACRAMENTO-BLVD)"/>
    <n v="3"/>
    <x v="15"/>
  </r>
  <r>
    <d v="2025-01-13T00:00:00"/>
    <s v="9989012235"/>
    <s v="THE MELT (SACRAMENTO-BLVD)"/>
    <n v="1"/>
    <x v="12"/>
  </r>
  <r>
    <d v="2025-01-13T00:00:00"/>
    <s v="9989012235"/>
    <s v="THE MELT (SACRAMENTO-BLVD)"/>
    <n v="1"/>
    <x v="9"/>
  </r>
  <r>
    <d v="2025-01-13T00:00:00"/>
    <s v="9989012235"/>
    <s v="THE MELT (SACRAMENTO-BLVD)"/>
    <n v="2"/>
    <x v="5"/>
  </r>
  <r>
    <d v="2025-01-13T00:00:00"/>
    <s v="9989012258"/>
    <s v="THE MELT (FOLSOM)"/>
    <n v="1"/>
    <x v="16"/>
  </r>
  <r>
    <d v="2025-01-13T00:00:00"/>
    <s v="9989012258"/>
    <s v="THE MELT (FOLSOM)"/>
    <n v="3"/>
    <x v="8"/>
  </r>
  <r>
    <d v="2025-01-13T00:00:00"/>
    <s v="9989012258"/>
    <s v="THE MELT (FOLSOM)"/>
    <n v="2"/>
    <x v="15"/>
  </r>
  <r>
    <d v="2025-01-13T00:00:00"/>
    <s v="9989012258"/>
    <s v="THE MELT (FOLSOM)"/>
    <n v="1"/>
    <x v="12"/>
  </r>
  <r>
    <d v="2025-01-13T00:00:00"/>
    <s v="9989012258"/>
    <s v="THE MELT (FOLSOM)"/>
    <n v="1"/>
    <x v="9"/>
  </r>
  <r>
    <d v="2025-01-13T00:00:00"/>
    <s v="9989012258"/>
    <s v="THE MELT (FOLSOM)"/>
    <n v="2"/>
    <x v="5"/>
  </r>
  <r>
    <d v="2025-01-13T00:00:00"/>
    <s v="9989012258"/>
    <s v="THE MELT (FOLSOM)"/>
    <n v="1"/>
    <x v="16"/>
  </r>
  <r>
    <d v="2025-01-14T00:00:00"/>
    <s v="9989012259"/>
    <s v="ENCINAL MARKET"/>
    <n v="1"/>
    <x v="1"/>
  </r>
  <r>
    <d v="2025-01-14T00:00:00"/>
    <s v="9989012259"/>
    <s v="ENCINAL MARKET"/>
    <n v="1"/>
    <x v="4"/>
  </r>
  <r>
    <d v="2025-01-14T00:00:00"/>
    <s v="9989012260"/>
    <s v="CRYBABY"/>
    <n v="2"/>
    <x v="12"/>
  </r>
  <r>
    <d v="2025-01-14T00:00:00"/>
    <s v="9989012261"/>
    <s v="DRAKES DEALERSHIP"/>
    <n v="1"/>
    <x v="10"/>
  </r>
  <r>
    <d v="2025-01-14T00:00:00"/>
    <s v="9989012261"/>
    <s v="DRAKES DEALERSHIP"/>
    <n v="1"/>
    <x v="26"/>
  </r>
  <r>
    <d v="2025-01-14T00:00:00"/>
    <s v="9989012261"/>
    <s v="DRAKES DEALERSHIP"/>
    <n v="2"/>
    <x v="13"/>
  </r>
  <r>
    <d v="2025-01-14T00:00:00"/>
    <s v="9989012262"/>
    <s v="THE MELT (455 MARKET)"/>
    <n v="3"/>
    <x v="8"/>
  </r>
  <r>
    <d v="2025-01-14T00:00:00"/>
    <s v="9989012262"/>
    <s v="THE MELT (455 MARKET)"/>
    <n v="2"/>
    <x v="5"/>
  </r>
  <r>
    <d v="2025-01-14T00:00:00"/>
    <s v="9989012262"/>
    <s v="THE MELT (455 MARKET)"/>
    <n v="2"/>
    <x v="9"/>
  </r>
  <r>
    <d v="2025-01-14T00:00:00"/>
    <s v="9989012262"/>
    <s v="THE MELT (455 MARKET)"/>
    <n v="2"/>
    <x v="12"/>
  </r>
  <r>
    <d v="2025-01-14T00:00:00"/>
    <s v="9989012262"/>
    <s v="THE MELT (455 MARKET)"/>
    <n v="2"/>
    <x v="15"/>
  </r>
  <r>
    <d v="2025-01-14T00:00:00"/>
    <s v="9989012262"/>
    <s v="THE MELT (455 MARKET)"/>
    <n v="2"/>
    <x v="10"/>
  </r>
  <r>
    <d v="2025-01-14T00:00:00"/>
    <s v="9989012263"/>
    <s v="CANDLESTICK PARK"/>
    <n v="1"/>
    <x v="15"/>
  </r>
  <r>
    <d v="2025-01-14T00:00:00"/>
    <s v="9989012263"/>
    <s v="CANDLESTICK PARK"/>
    <n v="1"/>
    <x v="10"/>
  </r>
  <r>
    <d v="2025-01-14T00:00:00"/>
    <s v="9989012264"/>
    <s v="STARBIRD CHICKEN - SF CLOUD"/>
    <n v="2"/>
    <x v="11"/>
  </r>
  <r>
    <d v="2025-01-14T00:00:00"/>
    <s v="9989012264"/>
    <s v="STARBIRD CHICKEN - SF CLOUD"/>
    <n v="2"/>
    <x v="1"/>
  </r>
  <r>
    <d v="2025-01-14T00:00:00"/>
    <s v="9989012264"/>
    <s v="STARBIRD CHICKEN - SF CLOUD"/>
    <n v="2"/>
    <x v="4"/>
  </r>
  <r>
    <d v="2025-01-14T00:00:00"/>
    <s v="9989012264"/>
    <s v="STARBIRD CHICKEN - SF CLOUD"/>
    <n v="4"/>
    <x v="3"/>
  </r>
  <r>
    <d v="2025-01-14T00:00:00"/>
    <s v="9989012265"/>
    <s v="UCSF MEDICAL CENTER MT. ZION"/>
    <n v="1"/>
    <x v="31"/>
  </r>
  <r>
    <d v="2025-01-14T00:00:00"/>
    <s v="9989012265"/>
    <s v="UCSF MEDICAL CENTER MT. ZION"/>
    <n v="1"/>
    <x v="33"/>
  </r>
  <r>
    <d v="2025-01-14T00:00:00"/>
    <s v="9989012265"/>
    <s v="UCSF MEDICAL CENTER MT. ZION"/>
    <n v="1"/>
    <x v="15"/>
  </r>
  <r>
    <d v="2025-01-14T00:00:00"/>
    <s v="9989012266"/>
    <s v="THE DEAD FISH"/>
    <n v="1"/>
    <x v="13"/>
  </r>
  <r>
    <d v="2025-01-14T00:00:00"/>
    <s v="9989012266"/>
    <s v="THE DEAD FISH"/>
    <n v="2"/>
    <x v="7"/>
  </r>
  <r>
    <d v="2025-01-14T00:00:00"/>
    <s v="9989012266"/>
    <s v="THE DEAD FISH"/>
    <n v="2"/>
    <x v="14"/>
  </r>
  <r>
    <d v="2025-01-14T00:00:00"/>
    <s v="9989012266"/>
    <s v="THE DEAD FISH"/>
    <n v="2"/>
    <x v="19"/>
  </r>
  <r>
    <d v="2025-01-14T00:00:00"/>
    <s v="9989012266"/>
    <s v="THE DEAD FISH"/>
    <n v="2"/>
    <x v="24"/>
  </r>
  <r>
    <d v="2025-01-14T00:00:00"/>
    <s v="9989012266"/>
    <s v="THE DEAD FISH"/>
    <n v="1"/>
    <x v="27"/>
  </r>
  <r>
    <d v="2025-01-14T00:00:00"/>
    <s v="9989012266"/>
    <s v="THE DEAD FISH"/>
    <n v="1"/>
    <x v="26"/>
  </r>
  <r>
    <d v="2025-01-14T00:00:00"/>
    <s v="9989012267"/>
    <s v="THE COMET"/>
    <n v="1"/>
    <x v="18"/>
  </r>
  <r>
    <d v="2025-01-14T00:00:00"/>
    <s v="9989012269"/>
    <s v="THE MELT (IRVINE SPECTRUM)"/>
    <n v="1"/>
    <x v="16"/>
  </r>
  <r>
    <d v="2025-01-14T00:00:00"/>
    <s v="9989012269"/>
    <s v="THE MELT (IRVINE SPECTRUM)"/>
    <n v="2"/>
    <x v="8"/>
  </r>
  <r>
    <d v="2025-01-14T00:00:00"/>
    <s v="9989012269"/>
    <s v="THE MELT (IRVINE SPECTRUM)"/>
    <n v="1"/>
    <x v="15"/>
  </r>
  <r>
    <d v="2025-01-14T00:00:00"/>
    <s v="9989012269"/>
    <s v="THE MELT (IRVINE SPECTRUM)"/>
    <n v="2"/>
    <x v="12"/>
  </r>
  <r>
    <d v="2025-01-14T00:00:00"/>
    <s v="9989012269"/>
    <s v="THE MELT (IRVINE SPECTRUM)"/>
    <n v="2"/>
    <x v="5"/>
  </r>
  <r>
    <d v="2025-01-14T00:00:00"/>
    <s v="9989012270"/>
    <s v="STARBIRD - TASTES ON THE FLY SF"/>
    <n v="1"/>
    <x v="8"/>
  </r>
  <r>
    <d v="2025-01-14T00:00:00"/>
    <s v="9989012270"/>
    <s v="STARBIRD - TASTES ON THE FLY SF"/>
    <n v="1"/>
    <x v="15"/>
  </r>
  <r>
    <d v="2025-01-14T00:00:00"/>
    <s v="9989012270"/>
    <s v="STARBIRD - TASTES ON THE FLY SF"/>
    <n v="2"/>
    <x v="5"/>
  </r>
  <r>
    <d v="2025-01-14T00:00:00"/>
    <s v="9989012271"/>
    <s v="BARNEY MC BEARS LLC"/>
    <n v="1"/>
    <x v="18"/>
  </r>
  <r>
    <d v="2025-01-14T00:00:00"/>
    <s v="9989012271"/>
    <s v="BARNEY MC BEARS LLC"/>
    <n v="1"/>
    <x v="8"/>
  </r>
  <r>
    <d v="2025-01-14T00:00:00"/>
    <s v="9989012272"/>
    <s v="ACME BAR &amp; COMPANY"/>
    <n v="2"/>
    <x v="10"/>
  </r>
  <r>
    <d v="2025-01-14T00:00:00"/>
    <s v="9989012272"/>
    <s v="ACME BAR &amp; COMPANY"/>
    <n v="1"/>
    <x v="18"/>
  </r>
  <r>
    <d v="2025-01-14T00:00:00"/>
    <s v="9989012272"/>
    <s v="ACME BAR &amp; COMPANY"/>
    <n v="1"/>
    <x v="15"/>
  </r>
  <r>
    <d v="2025-01-14T00:00:00"/>
    <s v="9989012273"/>
    <s v="JUPITER"/>
    <n v="2"/>
    <x v="13"/>
  </r>
  <r>
    <d v="2025-01-14T00:00:00"/>
    <s v="9989012273"/>
    <s v="JUPITER"/>
    <n v="1"/>
    <x v="26"/>
  </r>
  <r>
    <d v="2025-01-14T00:00:00"/>
    <s v="9989012273"/>
    <s v="JUPITER"/>
    <n v="1"/>
    <x v="27"/>
  </r>
  <r>
    <d v="2025-01-14T00:00:00"/>
    <s v="9989012273"/>
    <s v="JUPITER"/>
    <n v="1"/>
    <x v="5"/>
  </r>
  <r>
    <d v="2025-01-14T00:00:00"/>
    <s v="9989012274"/>
    <s v="STARBIRD CHICKEN - HERMOSA BEACH"/>
    <n v="1"/>
    <x v="15"/>
  </r>
  <r>
    <d v="2025-01-14T00:00:00"/>
    <s v="9989012274"/>
    <s v="STARBIRD CHICKEN - HERMOSA BEACH"/>
    <n v="1"/>
    <x v="8"/>
  </r>
  <r>
    <d v="2025-01-15T00:00:00"/>
    <s v="9989012275"/>
    <s v="CLUB MALLARD"/>
    <n v="1"/>
    <x v="14"/>
  </r>
  <r>
    <d v="2025-01-15T00:00:00"/>
    <s v="9989012277"/>
    <s v="WHITE HORSE INN"/>
    <n v="2"/>
    <x v="8"/>
  </r>
  <r>
    <d v="2025-01-15T00:00:00"/>
    <s v="9989012277"/>
    <s v="WHITE HORSE INN"/>
    <n v="2"/>
    <x v="12"/>
  </r>
  <r>
    <d v="2025-01-15T00:00:00"/>
    <s v="9989012277"/>
    <s v="WHITE HORSE INN"/>
    <n v="2"/>
    <x v="10"/>
  </r>
  <r>
    <d v="2025-01-15T00:00:00"/>
    <s v="9989012277"/>
    <s v="WHITE HORSE INN"/>
    <n v="2"/>
    <x v="14"/>
  </r>
  <r>
    <d v="2025-01-15T00:00:00"/>
    <s v="9989012277"/>
    <s v="WHITE HORSE INN"/>
    <n v="1"/>
    <x v="19"/>
  </r>
  <r>
    <d v="2025-01-15T00:00:00"/>
    <s v="9989012277"/>
    <s v="WHITE HORSE INN"/>
    <n v="1"/>
    <x v="18"/>
  </r>
  <r>
    <d v="2025-01-15T00:00:00"/>
    <s v="9989012278"/>
    <s v="BERKELEY TAP HAUS"/>
    <n v="2"/>
    <x v="8"/>
  </r>
  <r>
    <d v="2025-01-15T00:00:00"/>
    <s v="9989012278"/>
    <s v="BERKELEY TAP HAUS"/>
    <n v="2"/>
    <x v="12"/>
  </r>
  <r>
    <d v="2025-01-15T00:00:00"/>
    <s v="9989012279"/>
    <s v="CANYON CLUB BREWERY"/>
    <n v="1"/>
    <x v="10"/>
  </r>
  <r>
    <d v="2025-01-15T00:00:00"/>
    <s v="9989012279"/>
    <s v="CANYON CLUB BREWERY"/>
    <n v="1"/>
    <x v="7"/>
  </r>
  <r>
    <d v="2025-01-15T00:00:00"/>
    <s v="9989012279"/>
    <s v="CANYON CLUB BREWERY"/>
    <n v="1"/>
    <x v="8"/>
  </r>
  <r>
    <d v="2025-01-15T00:00:00"/>
    <s v="9989012280"/>
    <s v="THE MELT (DANVILLE)"/>
    <n v="1"/>
    <x v="16"/>
  </r>
  <r>
    <d v="2025-01-15T00:00:00"/>
    <s v="9989012280"/>
    <s v="THE MELT (DANVILLE)"/>
    <n v="1"/>
    <x v="5"/>
  </r>
  <r>
    <d v="2025-01-15T00:00:00"/>
    <s v="9989012280"/>
    <s v="THE MELT (DANVILLE)"/>
    <n v="1"/>
    <x v="8"/>
  </r>
  <r>
    <d v="2025-01-15T00:00:00"/>
    <s v="9989012281"/>
    <s v="ELLIOTTS"/>
    <n v="1"/>
    <x v="18"/>
  </r>
  <r>
    <d v="2025-01-15T00:00:00"/>
    <s v="9989012282"/>
    <s v="YAFA HUMMUS"/>
    <n v="2"/>
    <x v="8"/>
  </r>
  <r>
    <d v="2025-01-15T00:00:00"/>
    <s v="9989012282"/>
    <s v="YAFA HUMMUS"/>
    <n v="2"/>
    <x v="15"/>
  </r>
  <r>
    <d v="2025-01-15T00:00:00"/>
    <s v="9989012282"/>
    <s v="YAFA HUMMUS"/>
    <n v="2"/>
    <x v="9"/>
  </r>
  <r>
    <d v="2025-01-15T00:00:00"/>
    <s v="9989012282"/>
    <s v="YAFA HUMMUS"/>
    <n v="1"/>
    <x v="12"/>
  </r>
  <r>
    <d v="2025-01-15T00:00:00"/>
    <s v="9989012282"/>
    <s v="YAFA HUMMUS"/>
    <n v="1"/>
    <x v="5"/>
  </r>
  <r>
    <d v="2025-01-15T00:00:00"/>
    <s v="9989012282"/>
    <s v="YAFA HUMMUS"/>
    <n v="1"/>
    <x v="14"/>
  </r>
  <r>
    <d v="2025-01-15T00:00:00"/>
    <s v="9989012282"/>
    <s v="YAFA HUMMUS"/>
    <n v="1"/>
    <x v="7"/>
  </r>
  <r>
    <d v="2025-01-15T00:00:00"/>
    <s v="9989012283"/>
    <s v="YAFA HUMMUS-TRACY"/>
    <n v="3"/>
    <x v="8"/>
  </r>
  <r>
    <d v="2025-01-15T00:00:00"/>
    <s v="9989012283"/>
    <s v="YAFA HUMMUS-TRACY"/>
    <n v="2"/>
    <x v="15"/>
  </r>
  <r>
    <d v="2025-01-15T00:00:00"/>
    <s v="9989012283"/>
    <s v="YAFA HUMMUS-TRACY"/>
    <n v="2"/>
    <x v="9"/>
  </r>
  <r>
    <d v="2025-01-15T00:00:00"/>
    <s v="9989012283"/>
    <s v="YAFA HUMMUS-TRACY"/>
    <n v="2"/>
    <x v="12"/>
  </r>
  <r>
    <d v="2025-01-15T00:00:00"/>
    <s v="9989012283"/>
    <s v="YAFA HUMMUS-TRACY"/>
    <n v="2"/>
    <x v="14"/>
  </r>
  <r>
    <d v="2025-01-15T00:00:00"/>
    <s v="9989012283"/>
    <s v="YAFA HUMMUS-TRACY"/>
    <n v="1"/>
    <x v="7"/>
  </r>
  <r>
    <d v="2025-01-15T00:00:00"/>
    <s v="9989012283"/>
    <s v="YAFA HUMMUS-TRACY"/>
    <n v="1"/>
    <x v="5"/>
  </r>
  <r>
    <d v="2025-01-15T00:00:00"/>
    <s v="9989012284"/>
    <s v="PIZZERIA PAPPO"/>
    <n v="2"/>
    <x v="4"/>
  </r>
  <r>
    <d v="2025-01-15T00:00:00"/>
    <s v="9989012284"/>
    <s v="PIZZERIA PAPPO"/>
    <n v="2"/>
    <x v="3"/>
  </r>
  <r>
    <d v="2025-01-15T00:00:00"/>
    <s v="9989012284"/>
    <s v="PIZZERIA PAPPO"/>
    <n v="1"/>
    <x v="2"/>
  </r>
  <r>
    <d v="2025-01-15T00:00:00"/>
    <s v="9989012284"/>
    <s v="PIZZERIA PAPPO"/>
    <n v="1"/>
    <x v="1"/>
  </r>
  <r>
    <d v="2025-01-15T00:00:00"/>
    <s v="9989012285"/>
    <s v="STARBIRD CHICKEN - PLEASANTON"/>
    <n v="3"/>
    <x v="8"/>
  </r>
  <r>
    <d v="2025-01-15T00:00:00"/>
    <s v="9989012285"/>
    <s v="STARBIRD CHICKEN - PLEASANTON"/>
    <n v="3"/>
    <x v="15"/>
  </r>
  <r>
    <d v="2025-01-15T00:00:00"/>
    <s v="9989012285"/>
    <s v="STARBIRD CHICKEN - PLEASANTON"/>
    <n v="3"/>
    <x v="5"/>
  </r>
  <r>
    <d v="2025-01-15T00:00:00"/>
    <s v="9989012285"/>
    <s v="STARBIRD CHICKEN - PLEASANTON"/>
    <n v="1"/>
    <x v="23"/>
  </r>
  <r>
    <d v="2025-01-15T00:00:00"/>
    <s v="9989012285"/>
    <s v="STARBIRD CHICKEN - PLEASANTON"/>
    <n v="1"/>
    <x v="17"/>
  </r>
  <r>
    <d v="2025-01-15T00:00:00"/>
    <s v="9989012285"/>
    <s v="STARBIRD CHICKEN - PLEASANTON"/>
    <n v="1"/>
    <x v="1"/>
  </r>
  <r>
    <d v="2025-01-15T00:00:00"/>
    <s v="9989012285"/>
    <s v="STARBIRD CHICKEN - PLEASANTON"/>
    <n v="1"/>
    <x v="4"/>
  </r>
  <r>
    <d v="2025-01-15T00:00:00"/>
    <s v="9989012285"/>
    <s v="STARBIRD CHICKEN - PLEASANTON"/>
    <n v="1"/>
    <x v="11"/>
  </r>
  <r>
    <d v="2025-01-15T00:00:00"/>
    <s v="9989012286"/>
    <s v="CALI KID BURGERS AND SHAKES"/>
    <n v="2"/>
    <x v="17"/>
  </r>
  <r>
    <d v="2025-01-15T00:00:00"/>
    <s v="9989012286"/>
    <s v="CALI KID BURGERS AND SHAKES"/>
    <n v="1"/>
    <x v="5"/>
  </r>
  <r>
    <d v="2025-01-15T00:00:00"/>
    <s v="9989012286"/>
    <s v="CALI KID BURGERS AND SHAKES"/>
    <n v="1"/>
    <x v="10"/>
  </r>
  <r>
    <d v="2025-01-15T00:00:00"/>
    <s v="9989012286"/>
    <s v="CALI KID BURGERS AND SHAKES"/>
    <n v="2"/>
    <x v="8"/>
  </r>
  <r>
    <d v="2025-01-15T00:00:00"/>
    <s v="9989012287"/>
    <s v="CROWN AND CROW"/>
    <n v="2"/>
    <x v="8"/>
  </r>
  <r>
    <d v="2025-01-15T00:00:00"/>
    <s v="9989012287"/>
    <s v="CROWN AND CROW"/>
    <n v="1"/>
    <x v="12"/>
  </r>
  <r>
    <d v="2025-01-15T00:00:00"/>
    <s v="9989012287"/>
    <s v="CROWN AND CROW"/>
    <n v="1"/>
    <x v="19"/>
  </r>
  <r>
    <d v="2025-01-15T00:00:00"/>
    <s v="9989012287"/>
    <s v="CROWN AND CROW"/>
    <n v="1"/>
    <x v="14"/>
  </r>
  <r>
    <d v="2025-01-15T00:00:00"/>
    <s v="9989012288"/>
    <s v="THE YARD"/>
    <n v="1"/>
    <x v="13"/>
  </r>
  <r>
    <d v="2025-01-15T00:00:00"/>
    <s v="9989012288"/>
    <s v="THE YARD"/>
    <n v="1"/>
    <x v="26"/>
  </r>
  <r>
    <d v="2025-01-15T00:00:00"/>
    <s v="9989012288"/>
    <s v="THE YARD"/>
    <n v="1"/>
    <x v="5"/>
  </r>
  <r>
    <d v="2025-01-15T00:00:00"/>
    <s v="9989012288"/>
    <s v="THE YARD"/>
    <n v="1"/>
    <x v="17"/>
  </r>
  <r>
    <d v="2025-01-15T00:00:00"/>
    <s v="9989012288"/>
    <s v="THE YARD"/>
    <n v="1"/>
    <x v="7"/>
  </r>
  <r>
    <d v="2025-01-16T00:00:00"/>
    <s v="9989012290"/>
    <s v="TRABOCCO"/>
    <n v="2"/>
    <x v="15"/>
  </r>
  <r>
    <d v="2025-01-16T00:00:00"/>
    <s v="9989012290"/>
    <s v="TRABOCCO"/>
    <n v="1"/>
    <x v="19"/>
  </r>
  <r>
    <d v="2025-01-16T00:00:00"/>
    <s v="9989012290"/>
    <s v="TRABOCCO"/>
    <n v="1"/>
    <x v="8"/>
  </r>
  <r>
    <d v="2025-01-16T00:00:00"/>
    <s v="9989012290"/>
    <s v="TRABOCCO"/>
    <n v="1"/>
    <x v="12"/>
  </r>
  <r>
    <d v="2025-01-16T00:00:00"/>
    <s v="9989012290"/>
    <s v="TRABOCCO"/>
    <n v="1"/>
    <x v="10"/>
  </r>
  <r>
    <d v="2025-01-16T00:00:00"/>
    <s v="9989012292"/>
    <s v="SCOMAS RESTAURANT"/>
    <n v="2"/>
    <x v="8"/>
  </r>
  <r>
    <d v="2025-01-16T00:00:00"/>
    <s v="9989012292"/>
    <s v="SCOMAS RESTAURANT"/>
    <n v="1"/>
    <x v="12"/>
  </r>
  <r>
    <d v="2025-01-16T00:00:00"/>
    <s v="9989012292"/>
    <s v="SCOMAS RESTAURANT"/>
    <n v="3"/>
    <x v="15"/>
  </r>
  <r>
    <d v="2025-01-16T00:00:00"/>
    <s v="9989012293"/>
    <s v="CITY NIGHTS"/>
    <n v="1"/>
    <x v="18"/>
  </r>
  <r>
    <d v="2025-01-16T00:00:00"/>
    <s v="9989012294"/>
    <s v="ROCCA RESTAURANT"/>
    <n v="2"/>
    <x v="7"/>
  </r>
  <r>
    <d v="2025-01-16T00:00:00"/>
    <s v="9989012294"/>
    <s v="ROCCA RESTAURANT"/>
    <n v="1"/>
    <x v="12"/>
  </r>
  <r>
    <d v="2025-01-16T00:00:00"/>
    <s v="9989012294"/>
    <s v="ROCCA RESTAURANT"/>
    <n v="1"/>
    <x v="18"/>
  </r>
  <r>
    <d v="2025-01-16T00:00:00"/>
    <s v="9989012296"/>
    <s v="REDWOOD GRILL"/>
    <n v="1"/>
    <x v="11"/>
  </r>
  <r>
    <d v="2025-01-16T00:00:00"/>
    <s v="9989012296"/>
    <s v="REDWOOD GRILL"/>
    <n v="1"/>
    <x v="1"/>
  </r>
  <r>
    <d v="2025-01-16T00:00:00"/>
    <s v="9989012296"/>
    <s v="REDWOOD GRILL"/>
    <n v="1"/>
    <x v="3"/>
  </r>
  <r>
    <d v="2025-01-16T00:00:00"/>
    <s v="9989012296"/>
    <s v="REDWOOD GRILL"/>
    <n v="1"/>
    <x v="4"/>
  </r>
  <r>
    <d v="2025-01-16T00:00:00"/>
    <s v="9989012296"/>
    <s v="REDWOOD GRILL"/>
    <n v="1"/>
    <x v="2"/>
  </r>
  <r>
    <d v="2025-01-16T00:00:00"/>
    <s v="9989012296"/>
    <s v="REDWOOD GRILL"/>
    <n v="1"/>
    <x v="0"/>
  </r>
  <r>
    <d v="2025-01-16T00:00:00"/>
    <s v="9989012296"/>
    <s v="REDWOOD GRILL"/>
    <n v="1"/>
    <x v="10"/>
  </r>
  <r>
    <d v="2025-01-16T00:00:00"/>
    <s v="9989012298"/>
    <s v="CASEMENTS IRISH BAR"/>
    <n v="2"/>
    <x v="10"/>
  </r>
  <r>
    <d v="2025-01-16T00:00:00"/>
    <s v="9989012298"/>
    <s v="CASEMENTS IRISH BAR"/>
    <n v="1"/>
    <x v="8"/>
  </r>
  <r>
    <d v="2025-01-16T00:00:00"/>
    <s v="9989012298"/>
    <s v="CASEMENTS IRISH BAR"/>
    <n v="1"/>
    <x v="15"/>
  </r>
  <r>
    <d v="2025-01-16T00:00:00"/>
    <s v="9989012298"/>
    <s v="CASEMENTS IRISH BAR"/>
    <n v="2"/>
    <x v="18"/>
  </r>
  <r>
    <d v="2025-01-16T00:00:00"/>
    <s v="9989012298"/>
    <s v="CASEMENTS IRISH BAR"/>
    <n v="1"/>
    <x v="12"/>
  </r>
  <r>
    <d v="2025-01-16T00:00:00"/>
    <s v="9989012299"/>
    <s v="NOTE LOUNGE"/>
    <n v="1"/>
    <x v="12"/>
  </r>
  <r>
    <d v="2025-01-16T00:00:00"/>
    <s v="9989012299"/>
    <s v="NOTE LOUNGE"/>
    <n v="1"/>
    <x v="8"/>
  </r>
  <r>
    <d v="2025-01-16T00:00:00"/>
    <s v="9989012299"/>
    <s v="NOTE LOUNGE"/>
    <n v="1"/>
    <x v="14"/>
  </r>
  <r>
    <d v="2025-01-16T00:00:00"/>
    <s v="9989012299"/>
    <s v="NOTE LOUNGE"/>
    <n v="1"/>
    <x v="22"/>
  </r>
  <r>
    <d v="2025-01-16T00:00:00"/>
    <s v="9989012300"/>
    <s v="MONROE"/>
    <n v="1"/>
    <x v="28"/>
  </r>
  <r>
    <d v="2025-01-16T00:00:00"/>
    <s v="9989012300"/>
    <s v="MONROE"/>
    <n v="1"/>
    <x v="21"/>
  </r>
  <r>
    <d v="2025-01-16T00:00:00"/>
    <s v="9989012300"/>
    <s v="MONROE"/>
    <n v="2"/>
    <x v="14"/>
  </r>
  <r>
    <d v="2025-01-16T00:00:00"/>
    <s v="9989012301"/>
    <s v="STARBIRD CHICKEN - SAN JOSE"/>
    <n v="1"/>
    <x v="8"/>
  </r>
  <r>
    <d v="2025-01-16T00:00:00"/>
    <s v="9989012301"/>
    <s v="STARBIRD CHICKEN - SAN JOSE"/>
    <n v="2"/>
    <x v="15"/>
  </r>
  <r>
    <d v="2025-01-16T00:00:00"/>
    <s v="9989012301"/>
    <s v="STARBIRD CHICKEN - SAN JOSE"/>
    <n v="1"/>
    <x v="5"/>
  </r>
  <r>
    <d v="2025-01-16T00:00:00"/>
    <s v="9989012301"/>
    <s v="STARBIRD CHICKEN - SAN JOSE"/>
    <n v="1"/>
    <x v="1"/>
  </r>
  <r>
    <d v="2025-01-16T00:00:00"/>
    <s v="9989012301"/>
    <s v="STARBIRD CHICKEN - SAN JOSE"/>
    <n v="1"/>
    <x v="11"/>
  </r>
  <r>
    <d v="2025-01-16T00:00:00"/>
    <s v="9989012302"/>
    <s v="PAPILLON RESTAURANT FRANCIAS"/>
    <n v="1"/>
    <x v="15"/>
  </r>
  <r>
    <d v="2025-01-16T00:00:00"/>
    <s v="9989012302"/>
    <s v="PAPILLON RESTAURANT FRANCIAS"/>
    <n v="1"/>
    <x v="8"/>
  </r>
  <r>
    <d v="2025-01-16T00:00:00"/>
    <s v="9989012302"/>
    <s v="PAPILLON RESTAURANT FRANCIAS"/>
    <n v="1"/>
    <x v="12"/>
  </r>
  <r>
    <d v="2025-01-16T00:00:00"/>
    <s v="9989012303"/>
    <s v="U BAR"/>
    <n v="1"/>
    <x v="15"/>
  </r>
  <r>
    <d v="2025-01-16T00:00:00"/>
    <s v="9989012303"/>
    <s v="U BAR"/>
    <n v="1"/>
    <x v="13"/>
  </r>
  <r>
    <d v="2025-01-16T00:00:00"/>
    <s v="9989012303"/>
    <s v="U BAR"/>
    <n v="1"/>
    <x v="12"/>
  </r>
  <r>
    <d v="2025-01-16T00:00:00"/>
    <s v="9989012303"/>
    <s v="U BAR"/>
    <n v="1"/>
    <x v="10"/>
  </r>
  <r>
    <d v="2025-01-16T00:00:00"/>
    <s v="9989012304"/>
    <s v="STARBIRD CHICKEN - HERMOSA BEACH"/>
    <n v="1"/>
    <x v="10"/>
  </r>
  <r>
    <d v="2025-01-16T00:00:00"/>
    <s v="9989012305"/>
    <s v="THEORY OAKLAND"/>
    <n v="1"/>
    <x v="10"/>
  </r>
  <r>
    <d v="2025-01-16T00:00:00"/>
    <s v="9989012305"/>
    <s v="THEORY OAKLAND"/>
    <n v="1"/>
    <x v="8"/>
  </r>
  <r>
    <d v="2025-01-16T00:00:00"/>
    <s v="9989012306"/>
    <s v="RENEGADES"/>
    <n v="1"/>
    <x v="27"/>
  </r>
  <r>
    <d v="2025-01-16T00:00:00"/>
    <s v="9989012306"/>
    <s v="RENEGADES"/>
    <n v="1"/>
    <x v="26"/>
  </r>
  <r>
    <d v="2025-01-16T00:00:00"/>
    <s v="9989012306"/>
    <s v="RENEGADES"/>
    <n v="1"/>
    <x v="13"/>
  </r>
  <r>
    <d v="2025-01-16T00:00:00"/>
    <s v="9989012306"/>
    <s v="RENEGADES"/>
    <n v="1"/>
    <x v="18"/>
  </r>
  <r>
    <d v="2025-01-16T00:00:00"/>
    <s v="9989012306"/>
    <s v="RENEGADES"/>
    <n v="1"/>
    <x v="14"/>
  </r>
  <r>
    <d v="2025-01-16T00:00:00"/>
    <s v="9989012306"/>
    <s v="RENEGADES"/>
    <n v="1"/>
    <x v="19"/>
  </r>
  <r>
    <d v="2025-01-16T00:00:00"/>
    <s v="9989012306"/>
    <s v="RENEGADES"/>
    <n v="1"/>
    <x v="37"/>
  </r>
  <r>
    <d v="2025-01-16T00:00:00"/>
    <s v="9989012307"/>
    <s v="THE MELT (DEL MAR)"/>
    <n v="3"/>
    <x v="8"/>
  </r>
  <r>
    <d v="2025-01-16T00:00:00"/>
    <s v="9989012307"/>
    <s v="THE MELT (DEL MAR)"/>
    <n v="2"/>
    <x v="15"/>
  </r>
  <r>
    <d v="2025-01-16T00:00:00"/>
    <s v="9989012307"/>
    <s v="THE MELT (DEL MAR)"/>
    <n v="2"/>
    <x v="5"/>
  </r>
  <r>
    <d v="2025-01-16T00:00:00"/>
    <s v="9989012308"/>
    <s v="THE MELT (LA JOLLA)"/>
    <n v="2"/>
    <x v="16"/>
  </r>
  <r>
    <d v="2025-01-16T00:00:00"/>
    <s v="9989012308"/>
    <s v="THE MELT (LA JOLLA)"/>
    <n v="2"/>
    <x v="8"/>
  </r>
  <r>
    <d v="2025-01-16T00:00:00"/>
    <s v="9989012308"/>
    <s v="THE MELT (LA JOLLA)"/>
    <n v="1"/>
    <x v="15"/>
  </r>
  <r>
    <d v="2025-01-16T00:00:00"/>
    <s v="9989012308"/>
    <s v="THE MELT (LA JOLLA)"/>
    <n v="1"/>
    <x v="9"/>
  </r>
  <r>
    <d v="2025-01-16T00:00:00"/>
    <s v="9989012308"/>
    <s v="THE MELT (LA JOLLA)"/>
    <n v="2"/>
    <x v="5"/>
  </r>
  <r>
    <d v="2025-01-16T00:00:00"/>
    <s v="9989012309"/>
    <s v="MASTER PRECISION MACHINING"/>
    <n v="1"/>
    <x v="12"/>
  </r>
  <r>
    <d v="2025-01-16T00:00:00"/>
    <s v="9989012309"/>
    <s v="MASTER PRECISION MACHINING"/>
    <n v="2"/>
    <x v="14"/>
  </r>
  <r>
    <d v="2025-01-16T00:00:00"/>
    <s v="9989012310"/>
    <s v="CLUB CARIBE"/>
    <n v="2"/>
    <x v="14"/>
  </r>
  <r>
    <d v="2025-01-16T00:00:00"/>
    <s v="9989012310"/>
    <s v="CLUB CARIBE"/>
    <n v="2"/>
    <x v="28"/>
  </r>
  <r>
    <d v="2025-01-16T00:00:00"/>
    <s v="9989012310"/>
    <s v="CLUB CARIBE"/>
    <n v="2"/>
    <x v="29"/>
  </r>
  <r>
    <d v="2025-01-16T00:00:00"/>
    <s v="9989012310"/>
    <s v="CLUB CARIBE"/>
    <n v="1"/>
    <x v="22"/>
  </r>
  <r>
    <d v="2025-01-17T00:00:00"/>
    <s v="9989012311"/>
    <s v="HOBNOB RESTAURANT"/>
    <n v="1"/>
    <x v="12"/>
  </r>
  <r>
    <d v="2025-01-17T00:00:00"/>
    <s v="9989012311"/>
    <s v="HOBNOB RESTAURANT"/>
    <n v="1"/>
    <x v="24"/>
  </r>
  <r>
    <d v="2025-01-17T00:00:00"/>
    <s v="9989012313"/>
    <s v="2101 CLUB"/>
    <n v="1"/>
    <x v="14"/>
  </r>
  <r>
    <d v="2025-01-17T00:00:00"/>
    <s v="9989012313"/>
    <s v="2101 CLUB"/>
    <n v="1"/>
    <x v="8"/>
  </r>
  <r>
    <d v="2025-01-17T00:00:00"/>
    <s v="9989012313"/>
    <s v="2101 CLUB"/>
    <n v="1"/>
    <x v="12"/>
  </r>
  <r>
    <d v="2025-01-17T00:00:00"/>
    <s v="9989012314"/>
    <s v="THE MELT (SANTA CLARA 0045)"/>
    <n v="2"/>
    <x v="8"/>
  </r>
  <r>
    <d v="2025-01-17T00:00:00"/>
    <s v="9989012314"/>
    <s v="THE MELT (SANTA CLARA 0045)"/>
    <n v="2"/>
    <x v="5"/>
  </r>
  <r>
    <d v="2025-01-17T00:00:00"/>
    <s v="9989012314"/>
    <s v="THE MELT (SANTA CLARA 0045)"/>
    <n v="1"/>
    <x v="12"/>
  </r>
  <r>
    <d v="2025-01-17T00:00:00"/>
    <s v="9989012314"/>
    <s v="THE MELT (SANTA CLARA 0045)"/>
    <n v="2"/>
    <x v="10"/>
  </r>
  <r>
    <d v="2025-01-17T00:00:00"/>
    <s v="9989012314"/>
    <s v="THE MELT (SANTA CLARA 0045)"/>
    <n v="1"/>
    <x v="16"/>
  </r>
  <r>
    <d v="2025-01-17T00:00:00"/>
    <s v="9989012314"/>
    <s v="THE MELT (SANTA CLARA 0045)"/>
    <n v="1"/>
    <x v="15"/>
  </r>
  <r>
    <d v="2025-01-17T00:00:00"/>
    <s v="9989012315"/>
    <s v="BALTIC KISS"/>
    <n v="2"/>
    <x v="8"/>
  </r>
  <r>
    <d v="2025-01-17T00:00:00"/>
    <s v="9989012315"/>
    <s v="BALTIC KISS"/>
    <n v="1"/>
    <x v="12"/>
  </r>
  <r>
    <d v="2025-01-17T00:00:00"/>
    <s v="9989012315"/>
    <s v="BALTIC KISS"/>
    <n v="1"/>
    <x v="28"/>
  </r>
  <r>
    <d v="2025-01-17T00:00:00"/>
    <s v="9989012315"/>
    <s v="BALTIC KISS"/>
    <n v="1"/>
    <x v="10"/>
  </r>
  <r>
    <d v="2025-01-17T00:00:00"/>
    <s v="9989012315"/>
    <s v="BALTIC KISS"/>
    <n v="1"/>
    <x v="19"/>
  </r>
  <r>
    <d v="2025-01-17T00:00:00"/>
    <s v="9989012316"/>
    <s v="HOG ISLAND OYSTER CO LARKSPUR"/>
    <n v="2"/>
    <x v="15"/>
  </r>
  <r>
    <d v="2025-01-17T00:00:00"/>
    <s v="9989012316"/>
    <s v="HOG ISLAND OYSTER CO LARKSPUR"/>
    <n v="2"/>
    <x v="10"/>
  </r>
  <r>
    <d v="2025-01-17T00:00:00"/>
    <s v="9989012316"/>
    <s v="HOG ISLAND OYSTER CO LARKSPUR"/>
    <n v="1"/>
    <x v="8"/>
  </r>
  <r>
    <d v="2025-01-17T00:00:00"/>
    <s v="9989012316"/>
    <s v="HOG ISLAND OYSTER CO LARKSPUR"/>
    <n v="1"/>
    <x v="5"/>
  </r>
  <r>
    <d v="2025-01-17T00:00:00"/>
    <s v="9989012317"/>
    <s v="STARBIRD CHICKEN - CORTE MADERA"/>
    <n v="2"/>
    <x v="8"/>
  </r>
  <r>
    <d v="2025-01-17T00:00:00"/>
    <s v="9989012317"/>
    <s v="STARBIRD CHICKEN - CORTE MADERA"/>
    <n v="1"/>
    <x v="15"/>
  </r>
  <r>
    <d v="2025-01-17T00:00:00"/>
    <s v="9989012317"/>
    <s v="STARBIRD CHICKEN - CORTE MADERA"/>
    <n v="1"/>
    <x v="12"/>
  </r>
  <r>
    <d v="2025-01-17T00:00:00"/>
    <s v="9989012317"/>
    <s v="STARBIRD CHICKEN - CORTE MADERA"/>
    <n v="1"/>
    <x v="5"/>
  </r>
  <r>
    <d v="2025-01-17T00:00:00"/>
    <s v="9989012317"/>
    <s v="STARBIRD CHICKEN - CORTE MADERA"/>
    <n v="1"/>
    <x v="23"/>
  </r>
  <r>
    <d v="2025-01-17T00:00:00"/>
    <s v="9989012318"/>
    <s v="THE MELT (SUNNYVALE #0043)"/>
    <n v="1"/>
    <x v="16"/>
  </r>
  <r>
    <d v="2025-01-17T00:00:00"/>
    <s v="9989012318"/>
    <s v="THE MELT (SUNNYVALE #0043)"/>
    <n v="2"/>
    <x v="8"/>
  </r>
  <r>
    <d v="2025-01-17T00:00:00"/>
    <s v="9989012318"/>
    <s v="THE MELT (SUNNYVALE #0043)"/>
    <n v="1"/>
    <x v="15"/>
  </r>
  <r>
    <d v="2025-01-17T00:00:00"/>
    <s v="9989012318"/>
    <s v="THE MELT (SUNNYVALE #0043)"/>
    <n v="1"/>
    <x v="12"/>
  </r>
  <r>
    <d v="2025-01-17T00:00:00"/>
    <s v="9989012318"/>
    <s v="THE MELT (SUNNYVALE #0043)"/>
    <n v="2"/>
    <x v="5"/>
  </r>
  <r>
    <d v="2025-01-17T00:00:00"/>
    <s v="9989012319"/>
    <s v="THE MELT (IRVINE SPECTRUM)"/>
    <n v="2"/>
    <x v="10"/>
  </r>
  <r>
    <d v="2025-01-17T00:00:00"/>
    <s v="9989012320"/>
    <s v="THE MELT (STANFORD)"/>
    <n v="3"/>
    <x v="8"/>
  </r>
  <r>
    <d v="2025-01-17T00:00:00"/>
    <s v="9989012320"/>
    <s v="THE MELT (STANFORD)"/>
    <n v="1"/>
    <x v="15"/>
  </r>
  <r>
    <d v="2025-01-17T00:00:00"/>
    <s v="9989012320"/>
    <s v="THE MELT (STANFORD)"/>
    <n v="2"/>
    <x v="12"/>
  </r>
  <r>
    <d v="2025-01-17T00:00:00"/>
    <s v="9989012320"/>
    <s v="THE MELT (STANFORD)"/>
    <n v="2"/>
    <x v="5"/>
  </r>
  <r>
    <d v="2025-01-17T00:00:00"/>
    <s v="9989012320"/>
    <s v="THE MELT (STANFORD)"/>
    <n v="2"/>
    <x v="9"/>
  </r>
  <r>
    <d v="2025-01-17T00:00:00"/>
    <s v="9989012323"/>
    <s v="THE MELT (LA JOLLA)"/>
    <n v="2"/>
    <x v="10"/>
  </r>
  <r>
    <d v="2025-01-17T00:00:00"/>
    <s v="9989012324"/>
    <s v="STRAITS SANTANA ROW"/>
    <n v="1"/>
    <x v="15"/>
  </r>
  <r>
    <d v="2025-01-17T00:00:00"/>
    <s v="9989012324"/>
    <s v="STRAITS SANTANA ROW"/>
    <n v="1"/>
    <x v="8"/>
  </r>
  <r>
    <d v="2025-01-17T00:00:00"/>
    <s v="9989012324"/>
    <s v="STRAITS SANTANA ROW"/>
    <n v="1"/>
    <x v="12"/>
  </r>
  <r>
    <d v="2025-01-17T00:00:00"/>
    <s v="9989012326"/>
    <s v="CLUB BOTTOMS UP SF"/>
    <n v="1"/>
    <x v="18"/>
  </r>
  <r>
    <d v="2025-01-17T00:00:00"/>
    <s v="9989012326"/>
    <s v="CLUB BOTTOMS UP SF"/>
    <n v="1"/>
    <x v="8"/>
  </r>
  <r>
    <d v="2025-01-17T00:00:00"/>
    <s v="9989012327"/>
    <s v="STARBIRD CHICKEN - CAMPBELL"/>
    <n v="5"/>
    <x v="8"/>
  </r>
  <r>
    <d v="2025-01-17T00:00:00"/>
    <s v="9989012327"/>
    <s v="STARBIRD CHICKEN - CAMPBELL"/>
    <n v="3"/>
    <x v="15"/>
  </r>
  <r>
    <d v="2025-01-17T00:00:00"/>
    <s v="9989012327"/>
    <s v="STARBIRD CHICKEN - CAMPBELL"/>
    <n v="2"/>
    <x v="12"/>
  </r>
  <r>
    <d v="2025-01-17T00:00:00"/>
    <s v="9989012327"/>
    <s v="STARBIRD CHICKEN - CAMPBELL"/>
    <n v="3"/>
    <x v="5"/>
  </r>
  <r>
    <d v="2025-01-17T00:00:00"/>
    <s v="9989012327"/>
    <s v="STARBIRD CHICKEN - CAMPBELL"/>
    <n v="3"/>
    <x v="17"/>
  </r>
  <r>
    <d v="2025-01-17T00:00:00"/>
    <s v="9989012327"/>
    <s v="STARBIRD CHICKEN - CAMPBELL"/>
    <n v="3"/>
    <x v="11"/>
  </r>
  <r>
    <d v="2025-01-17T00:00:00"/>
    <s v="9989012327"/>
    <s v="STARBIRD CHICKEN - CAMPBELL"/>
    <n v="2"/>
    <x v="1"/>
  </r>
  <r>
    <d v="2025-01-17T00:00:00"/>
    <s v="9989012327"/>
    <s v="STARBIRD CHICKEN - CAMPBELL"/>
    <n v="4"/>
    <x v="3"/>
  </r>
  <r>
    <d v="2025-01-17T00:00:00"/>
    <s v="9989012327"/>
    <s v="STARBIRD CHICKEN - CAMPBELL"/>
    <n v="3"/>
    <x v="4"/>
  </r>
  <r>
    <d v="2025-01-17T00:00:00"/>
    <s v="9989012328"/>
    <s v="BLUE LAGOON"/>
    <n v="1"/>
    <x v="28"/>
  </r>
  <r>
    <d v="2025-01-17T00:00:00"/>
    <s v="9989012328"/>
    <s v="BLUE LAGOON"/>
    <n v="1"/>
    <x v="22"/>
  </r>
  <r>
    <d v="2025-01-17T00:00:00"/>
    <s v="9989012328"/>
    <s v="BLUE LAGOON"/>
    <n v="1"/>
    <x v="10"/>
  </r>
  <r>
    <d v="2025-01-17T00:00:00"/>
    <s v="9989012329"/>
    <s v="ARTHUR MAC'S LITTLE SNACK"/>
    <n v="2"/>
    <x v="8"/>
  </r>
  <r>
    <d v="2025-01-17T00:00:00"/>
    <s v="9989012329"/>
    <s v="ARTHUR MAC'S LITTLE SNACK"/>
    <n v="2"/>
    <x v="5"/>
  </r>
  <r>
    <d v="2025-01-17T00:00:00"/>
    <s v="9989012329"/>
    <s v="ARTHUR MAC'S LITTLE SNACK"/>
    <n v="1"/>
    <x v="10"/>
  </r>
  <r>
    <d v="2025-01-17T00:00:00"/>
    <s v="9989012329"/>
    <s v="ARTHUR MAC'S LITTLE SNACK"/>
    <n v="1"/>
    <x v="12"/>
  </r>
  <r>
    <d v="2025-01-17T00:00:00"/>
    <s v="9989012329"/>
    <s v="ARTHUR MAC'S LITTLE SNACK"/>
    <n v="1"/>
    <x v="9"/>
  </r>
  <r>
    <d v="2025-01-17T00:00:00"/>
    <s v="9989012330"/>
    <s v="GRAND LAKE THEATER"/>
    <n v="6"/>
    <x v="8"/>
  </r>
  <r>
    <d v="2025-01-17T00:00:00"/>
    <s v="9989012330"/>
    <s v="GRAND LAKE THEATER"/>
    <n v="4"/>
    <x v="15"/>
  </r>
  <r>
    <d v="2025-01-17T00:00:00"/>
    <s v="9989012330"/>
    <s v="GRAND LAKE THEATER"/>
    <n v="4"/>
    <x v="5"/>
  </r>
  <r>
    <d v="2025-01-17T00:00:00"/>
    <s v="9989012330"/>
    <s v="GRAND LAKE THEATER"/>
    <n v="4"/>
    <x v="12"/>
  </r>
  <r>
    <d v="2025-01-17T00:00:00"/>
    <s v="9989012330"/>
    <s v="GRAND LAKE THEATER"/>
    <n v="4"/>
    <x v="10"/>
  </r>
  <r>
    <d v="2025-01-17T00:00:00"/>
    <s v="9989012330"/>
    <s v="GRAND LAKE THEATER"/>
    <n v="2"/>
    <x v="7"/>
  </r>
  <r>
    <d v="2025-01-20T00:00:00"/>
    <s v="9989012335"/>
    <s v="STARBIRD CHICKEN - SAN JOSE"/>
    <n v="2"/>
    <x v="15"/>
  </r>
  <r>
    <d v="2025-01-20T00:00:00"/>
    <s v="9989012335"/>
    <s v="STARBIRD CHICKEN - SAN JOSE"/>
    <n v="1"/>
    <x v="8"/>
  </r>
  <r>
    <d v="2025-01-20T00:00:00"/>
    <s v="9989012335"/>
    <s v="STARBIRD CHICKEN - SAN JOSE"/>
    <n v="2"/>
    <x v="12"/>
  </r>
  <r>
    <d v="2025-01-20T00:00:00"/>
    <s v="9989012335"/>
    <s v="STARBIRD CHICKEN - SAN JOSE"/>
    <n v="1"/>
    <x v="5"/>
  </r>
  <r>
    <d v="2025-01-20T00:00:00"/>
    <s v="9989012335"/>
    <s v="STARBIRD CHICKEN - SAN JOSE"/>
    <n v="1"/>
    <x v="10"/>
  </r>
  <r>
    <d v="2025-01-20T00:00:00"/>
    <s v="9989012335"/>
    <s v="STARBIRD CHICKEN - SAN JOSE"/>
    <n v="1"/>
    <x v="1"/>
  </r>
  <r>
    <d v="2025-01-20T00:00:00"/>
    <s v="9989012335"/>
    <s v="STARBIRD CHICKEN - SAN JOSE"/>
    <n v="1"/>
    <x v="3"/>
  </r>
  <r>
    <d v="2025-01-20T00:00:00"/>
    <s v="9989012335"/>
    <s v="STARBIRD CHICKEN - SAN JOSE"/>
    <n v="1"/>
    <x v="4"/>
  </r>
  <r>
    <d v="2025-01-20T00:00:00"/>
    <s v="9989012337"/>
    <s v="MEDITERRANEAN BAR"/>
    <n v="2"/>
    <x v="8"/>
  </r>
  <r>
    <d v="2025-01-20T00:00:00"/>
    <s v="9989012337"/>
    <s v="MEDITERRANEAN BAR"/>
    <n v="1"/>
    <x v="18"/>
  </r>
  <r>
    <d v="2025-01-20T00:00:00"/>
    <s v="9989012358A"/>
    <s v="ORIGINS CRAFT SODA COMPANY"/>
    <n v="47"/>
    <x v="28"/>
  </r>
  <r>
    <d v="2025-01-20T00:00:00"/>
    <s v="9989012358A"/>
    <s v="ORIGINS CRAFT SODA COMPANY"/>
    <n v="20"/>
    <x v="21"/>
  </r>
  <r>
    <d v="2025-01-20T00:00:00"/>
    <s v="9989012358A"/>
    <s v="ORIGINS CRAFT SODA COMPANY"/>
    <n v="73"/>
    <x v="28"/>
  </r>
  <r>
    <d v="2025-01-21T00:00:00"/>
    <s v="9989012339"/>
    <s v="SCOMAS RESTAURANT"/>
    <n v="1"/>
    <x v="12"/>
  </r>
  <r>
    <d v="2025-01-21T00:00:00"/>
    <s v="9989012339"/>
    <s v="SCOMAS RESTAURANT"/>
    <n v="1"/>
    <x v="19"/>
  </r>
  <r>
    <d v="2025-01-21T00:00:00"/>
    <s v="9989012339"/>
    <s v="SCOMAS RESTAURANT"/>
    <n v="1"/>
    <x v="14"/>
  </r>
  <r>
    <d v="2025-01-21T00:00:00"/>
    <s v="9989012339"/>
    <s v="SCOMAS RESTAURANT"/>
    <n v="2"/>
    <x v="7"/>
  </r>
  <r>
    <d v="2025-01-21T00:00:00"/>
    <s v="9989012341"/>
    <s v="BALBOA THEATER"/>
    <n v="1"/>
    <x v="26"/>
  </r>
  <r>
    <d v="2025-01-21T00:00:00"/>
    <s v="9989012341"/>
    <s v="BALBOA THEATER"/>
    <n v="1"/>
    <x v="13"/>
  </r>
  <r>
    <d v="2025-01-21T00:00:00"/>
    <s v="9989012341"/>
    <s v="BALBOA THEATER"/>
    <n v="1"/>
    <x v="5"/>
  </r>
  <r>
    <d v="2025-01-21T00:00:00"/>
    <s v="9989012342"/>
    <s v="PIE PUNKS"/>
    <n v="3"/>
    <x v="13"/>
  </r>
  <r>
    <d v="2025-01-21T00:00:00"/>
    <s v="9989012344"/>
    <s v="PIXAR ANIMATION STUDIOS"/>
    <n v="1"/>
    <x v="7"/>
  </r>
  <r>
    <d v="2025-01-21T00:00:00"/>
    <s v="9989012346"/>
    <s v="THE DEAD FISH"/>
    <n v="1"/>
    <x v="26"/>
  </r>
  <r>
    <d v="2025-01-21T00:00:00"/>
    <s v="9989012346"/>
    <s v="THE DEAD FISH"/>
    <n v="1"/>
    <x v="13"/>
  </r>
  <r>
    <d v="2025-01-21T00:00:00"/>
    <s v="9989012346"/>
    <s v="THE DEAD FISH"/>
    <n v="1"/>
    <x v="27"/>
  </r>
  <r>
    <d v="2025-01-21T00:00:00"/>
    <s v="9989012346"/>
    <s v="THE DEAD FISH"/>
    <n v="2"/>
    <x v="14"/>
  </r>
  <r>
    <d v="2025-01-21T00:00:00"/>
    <s v="9989012346"/>
    <s v="THE DEAD FISH"/>
    <n v="1"/>
    <x v="24"/>
  </r>
  <r>
    <d v="2025-01-21T00:00:00"/>
    <s v="9989012346"/>
    <s v="THE DEAD FISH"/>
    <n v="2"/>
    <x v="19"/>
  </r>
  <r>
    <d v="2025-01-21T00:00:00"/>
    <s v="9989012348"/>
    <s v="TOP DOG #1 DUR"/>
    <n v="2"/>
    <x v="13"/>
  </r>
  <r>
    <d v="2025-01-21T00:00:00"/>
    <s v="9989012348"/>
    <s v="TOP DOG #1 DUR"/>
    <n v="1"/>
    <x v="26"/>
  </r>
  <r>
    <d v="2025-01-21T00:00:00"/>
    <s v="9989012348"/>
    <s v="TOP DOG #1 DUR"/>
    <n v="2"/>
    <x v="7"/>
  </r>
  <r>
    <d v="2025-01-21T00:00:00"/>
    <s v="9989012348"/>
    <s v="TOP DOG #1 DUR"/>
    <n v="2"/>
    <x v="5"/>
  </r>
  <r>
    <d v="2025-01-21T00:00:00"/>
    <s v="9989012349"/>
    <s v="HOMEROOM - BERKELEY"/>
    <n v="2"/>
    <x v="5"/>
  </r>
  <r>
    <d v="2025-01-21T00:00:00"/>
    <s v="9989012349"/>
    <s v="HOMEROOM - BERKELEY"/>
    <n v="1"/>
    <x v="12"/>
  </r>
  <r>
    <d v="2025-01-21T00:00:00"/>
    <s v="9989012349"/>
    <s v="HOMEROOM - BERKELEY"/>
    <n v="1"/>
    <x v="19"/>
  </r>
  <r>
    <d v="2025-01-21T00:00:00"/>
    <s v="9989012349"/>
    <s v="HOMEROOM - BERKELEY"/>
    <n v="1"/>
    <x v="8"/>
  </r>
  <r>
    <d v="2025-01-21T00:00:00"/>
    <s v="9989012350"/>
    <s v="MISSOURI LOUNGE &amp; CAFE"/>
    <n v="1"/>
    <x v="15"/>
  </r>
  <r>
    <d v="2025-01-21T00:00:00"/>
    <s v="9989012350"/>
    <s v="MISSOURI LOUNGE &amp; CAFE"/>
    <n v="1"/>
    <x v="14"/>
  </r>
  <r>
    <d v="2025-01-21T00:00:00"/>
    <s v="9989012351"/>
    <s v="NITE CAP"/>
    <n v="1"/>
    <x v="14"/>
  </r>
  <r>
    <d v="2025-01-21T00:00:00"/>
    <s v="9989012351"/>
    <s v="NITE CAP"/>
    <n v="2"/>
    <x v="8"/>
  </r>
  <r>
    <d v="2025-01-21T00:00:00"/>
    <s v="9989012351"/>
    <s v="NITE CAP"/>
    <n v="1"/>
    <x v="10"/>
  </r>
  <r>
    <d v="2025-01-21T00:00:00"/>
    <s v="9989012352"/>
    <s v="PIZZERIA PAPPO"/>
    <n v="3"/>
    <x v="1"/>
  </r>
  <r>
    <d v="2025-01-21T00:00:00"/>
    <s v="9989012352"/>
    <s v="PIZZERIA PAPPO"/>
    <n v="3"/>
    <x v="11"/>
  </r>
  <r>
    <d v="2025-01-21T00:00:00"/>
    <s v="9989012352"/>
    <s v="PIZZERIA PAPPO"/>
    <n v="2"/>
    <x v="4"/>
  </r>
  <r>
    <d v="2025-01-21T00:00:00"/>
    <s v="9989012352"/>
    <s v="PIZZERIA PAPPO"/>
    <n v="1"/>
    <x v="3"/>
  </r>
  <r>
    <d v="2025-01-21T00:00:00"/>
    <s v="9989012353"/>
    <s v="STARBIRD CHICKEN - MARINA DEL REY"/>
    <n v="3"/>
    <x v="17"/>
  </r>
  <r>
    <d v="2025-01-21T00:00:00"/>
    <s v="9989012353"/>
    <s v="STARBIRD CHICKEN - MARINA DEL REY"/>
    <n v="3"/>
    <x v="8"/>
  </r>
  <r>
    <d v="2025-01-21T00:00:00"/>
    <s v="9989012353"/>
    <s v="STARBIRD CHICKEN - MARINA DEL REY"/>
    <n v="1"/>
    <x v="5"/>
  </r>
  <r>
    <d v="2025-01-21T00:00:00"/>
    <s v="9989012353"/>
    <s v="STARBIRD CHICKEN - MARINA DEL REY"/>
    <n v="1"/>
    <x v="15"/>
  </r>
  <r>
    <d v="2025-01-21T00:00:00"/>
    <s v="9989012353"/>
    <s v="STARBIRD CHICKEN - MARINA DEL REY"/>
    <n v="2"/>
    <x v="1"/>
  </r>
  <r>
    <d v="2025-01-21T00:00:00"/>
    <s v="9989012354"/>
    <s v="THE MELT (WEST HOLLYWOOD)"/>
    <n v="1"/>
    <x v="8"/>
  </r>
  <r>
    <d v="2025-01-21T00:00:00"/>
    <s v="9989012354"/>
    <s v="THE MELT (WEST HOLLYWOOD)"/>
    <n v="1"/>
    <x v="10"/>
  </r>
  <r>
    <d v="2025-01-21T00:00:00"/>
    <s v="9989012354"/>
    <s v="THE MELT (WEST HOLLYWOOD)"/>
    <n v="1"/>
    <x v="12"/>
  </r>
  <r>
    <d v="2025-01-21T00:00:00"/>
    <s v="9989012354"/>
    <s v="THE MELT (WEST HOLLYWOOD)"/>
    <n v="1"/>
    <x v="9"/>
  </r>
  <r>
    <d v="2025-01-21T00:00:00"/>
    <s v="9989012356"/>
    <s v="KONA CLUB"/>
    <n v="1"/>
    <x v="12"/>
  </r>
  <r>
    <d v="2025-01-21T00:00:00"/>
    <s v="9989012356"/>
    <s v="KONA CLUB"/>
    <n v="1"/>
    <x v="19"/>
  </r>
  <r>
    <d v="2025-01-21T00:00:00"/>
    <s v="9989012356"/>
    <s v="KONA CLUB"/>
    <n v="1"/>
    <x v="8"/>
  </r>
  <r>
    <d v="2025-01-21T00:00:00"/>
    <s v="9989012357"/>
    <s v="THE NEW PARKWAY"/>
    <n v="1"/>
    <x v="9"/>
  </r>
  <r>
    <d v="2025-01-22T00:00:00"/>
    <s v="9989012358"/>
    <s v="JUANS PLACE"/>
    <n v="1"/>
    <x v="13"/>
  </r>
  <r>
    <d v="2025-01-22T00:00:00"/>
    <s v="9989012358"/>
    <s v="JUANS PLACE"/>
    <n v="1"/>
    <x v="15"/>
  </r>
  <r>
    <d v="2025-01-22T00:00:00"/>
    <s v="9989012358"/>
    <s v="JUANS PLACE"/>
    <n v="1"/>
    <x v="5"/>
  </r>
  <r>
    <d v="2025-01-22T00:00:00"/>
    <s v="9989012359"/>
    <s v="DIABLO FOODS"/>
    <n v="1"/>
    <x v="11"/>
  </r>
  <r>
    <d v="2025-01-22T00:00:00"/>
    <s v="9989012359"/>
    <s v="DIABLO FOODS"/>
    <n v="2"/>
    <x v="1"/>
  </r>
  <r>
    <d v="2025-01-22T00:00:00"/>
    <s v="9989012359"/>
    <s v="DIABLO FOODS"/>
    <n v="1"/>
    <x v="3"/>
  </r>
  <r>
    <d v="2025-01-22T00:00:00"/>
    <s v="9989012359"/>
    <s v="DIABLO FOODS"/>
    <n v="2"/>
    <x v="4"/>
  </r>
  <r>
    <d v="2025-01-22T00:00:00"/>
    <s v="9989012359"/>
    <s v="DIABLO FOODS"/>
    <n v="1"/>
    <x v="0"/>
  </r>
  <r>
    <d v="2025-01-22T00:00:00"/>
    <s v="9989012359"/>
    <s v="DIABLO FOODS"/>
    <n v="1"/>
    <x v="2"/>
  </r>
  <r>
    <d v="2025-01-22T00:00:00"/>
    <s v="9989012360"/>
    <s v="ELKS LODGE SSF #2091"/>
    <n v="3"/>
    <x v="14"/>
  </r>
  <r>
    <d v="2025-01-22T00:00:00"/>
    <s v="9989012360"/>
    <s v="ELKS LODGE SSF #2091"/>
    <n v="2"/>
    <x v="8"/>
  </r>
  <r>
    <d v="2025-01-22T00:00:00"/>
    <s v="9989012360"/>
    <s v="ELKS LODGE SSF #2091"/>
    <n v="1"/>
    <x v="15"/>
  </r>
  <r>
    <d v="2025-01-22T00:00:00"/>
    <s v="9989012360"/>
    <s v="ELKS LODGE SSF #2091"/>
    <n v="1"/>
    <x v="7"/>
  </r>
  <r>
    <d v="2025-01-22T00:00:00"/>
    <s v="9989012360"/>
    <s v="ELKS LODGE SSF #2091"/>
    <n v="1"/>
    <x v="19"/>
  </r>
  <r>
    <d v="2025-01-22T00:00:00"/>
    <s v="9989012361"/>
    <s v="HEADLANDS BREWING - LAFAYETTE"/>
    <n v="2"/>
    <x v="8"/>
  </r>
  <r>
    <d v="2025-01-22T00:00:00"/>
    <s v="9989012361"/>
    <s v="HEADLANDS BREWING - LAFAYETTE"/>
    <n v="3"/>
    <x v="24"/>
  </r>
  <r>
    <d v="2025-01-22T00:00:00"/>
    <s v="9989012361"/>
    <s v="HEADLANDS BREWING - LAFAYETTE"/>
    <n v="1"/>
    <x v="5"/>
  </r>
  <r>
    <d v="2025-01-22T00:00:00"/>
    <s v="9989012361"/>
    <s v="HEADLANDS BREWING - LAFAYETTE"/>
    <n v="1"/>
    <x v="12"/>
  </r>
  <r>
    <d v="2025-01-22T00:00:00"/>
    <s v="9989012361"/>
    <s v="HEADLANDS BREWING - LAFAYETTE"/>
    <n v="1"/>
    <x v="10"/>
  </r>
  <r>
    <d v="2025-01-22T00:00:00"/>
    <s v="9989012362"/>
    <s v="FIDDLERS GREEN"/>
    <n v="1"/>
    <x v="8"/>
  </r>
  <r>
    <d v="2025-01-22T00:00:00"/>
    <s v="9989012362"/>
    <s v="FIDDLERS GREEN"/>
    <n v="1"/>
    <x v="15"/>
  </r>
  <r>
    <d v="2025-01-22T00:00:00"/>
    <s v="9989012362"/>
    <s v="FIDDLERS GREEN"/>
    <n v="1"/>
    <x v="24"/>
  </r>
  <r>
    <d v="2025-01-22T00:00:00"/>
    <s v="9989012362"/>
    <s v="FIDDLERS GREEN"/>
    <n v="1"/>
    <x v="12"/>
  </r>
  <r>
    <d v="2025-01-22T00:00:00"/>
    <s v="9989012362"/>
    <s v="FIDDLERS GREEN"/>
    <n v="1"/>
    <x v="7"/>
  </r>
  <r>
    <d v="2025-01-22T00:00:00"/>
    <s v="9989012363"/>
    <s v="IL PAVONE"/>
    <n v="2"/>
    <x v="8"/>
  </r>
  <r>
    <d v="2025-01-22T00:00:00"/>
    <s v="9989012363"/>
    <s v="IL PAVONE"/>
    <n v="2"/>
    <x v="15"/>
  </r>
  <r>
    <d v="2025-01-22T00:00:00"/>
    <s v="9989012363"/>
    <s v="IL PAVONE"/>
    <n v="2"/>
    <x v="12"/>
  </r>
  <r>
    <d v="2025-01-22T00:00:00"/>
    <s v="9989012363"/>
    <s v="IL PAVONE"/>
    <n v="1"/>
    <x v="19"/>
  </r>
  <r>
    <d v="2025-01-22T00:00:00"/>
    <s v="9989012363"/>
    <s v="IL PAVONE"/>
    <n v="1"/>
    <x v="7"/>
  </r>
  <r>
    <d v="2025-01-22T00:00:00"/>
    <s v="9989012364"/>
    <s v="STARBIRD CHICKEN - WALNUT CREEK"/>
    <n v="3"/>
    <x v="8"/>
  </r>
  <r>
    <d v="2025-01-22T00:00:00"/>
    <s v="9989012364"/>
    <s v="STARBIRD CHICKEN - WALNUT CREEK"/>
    <n v="1"/>
    <x v="15"/>
  </r>
  <r>
    <d v="2025-01-22T00:00:00"/>
    <s v="9989012364"/>
    <s v="STARBIRD CHICKEN - WALNUT CREEK"/>
    <n v="1"/>
    <x v="12"/>
  </r>
  <r>
    <d v="2025-01-22T00:00:00"/>
    <s v="9989012364"/>
    <s v="STARBIRD CHICKEN - WALNUT CREEK"/>
    <n v="1"/>
    <x v="17"/>
  </r>
  <r>
    <d v="2025-01-22T00:00:00"/>
    <s v="9989012364"/>
    <s v="STARBIRD CHICKEN - WALNUT CREEK"/>
    <n v="3"/>
    <x v="5"/>
  </r>
  <r>
    <d v="2025-01-22T00:00:00"/>
    <s v="9989012364"/>
    <s v="STARBIRD CHICKEN - WALNUT CREEK"/>
    <n v="2"/>
    <x v="11"/>
  </r>
  <r>
    <d v="2025-01-22T00:00:00"/>
    <s v="9989012364"/>
    <s v="STARBIRD CHICKEN - WALNUT CREEK"/>
    <n v="1"/>
    <x v="1"/>
  </r>
  <r>
    <d v="2025-01-22T00:00:00"/>
    <s v="9989012364"/>
    <s v="STARBIRD CHICKEN - WALNUT CREEK"/>
    <n v="1"/>
    <x v="3"/>
  </r>
  <r>
    <d v="2025-01-22T00:00:00"/>
    <s v="9989012364"/>
    <s v="STARBIRD CHICKEN - WALNUT CREEK"/>
    <n v="1"/>
    <x v="4"/>
  </r>
  <r>
    <d v="2025-01-22T00:00:00"/>
    <s v="9989012365"/>
    <s v="THE MELT (STANFORD)"/>
    <n v="2"/>
    <x v="8"/>
  </r>
  <r>
    <d v="2025-01-22T00:00:00"/>
    <s v="9989012365"/>
    <s v="THE MELT (STANFORD)"/>
    <n v="1"/>
    <x v="12"/>
  </r>
  <r>
    <d v="2025-01-22T00:00:00"/>
    <s v="9989012365"/>
    <s v="THE MELT (STANFORD)"/>
    <n v="2"/>
    <x v="15"/>
  </r>
  <r>
    <d v="2025-01-22T00:00:00"/>
    <s v="9989012366"/>
    <s v="PANCOAST PIZZA"/>
    <n v="1"/>
    <x v="9"/>
  </r>
  <r>
    <d v="2025-01-22T00:00:00"/>
    <s v="9989012366"/>
    <s v="PANCOAST PIZZA"/>
    <n v="1"/>
    <x v="8"/>
  </r>
  <r>
    <d v="2025-01-22T00:00:00"/>
    <s v="9989012366"/>
    <s v="PANCOAST PIZZA"/>
    <n v="1"/>
    <x v="5"/>
  </r>
  <r>
    <d v="2025-01-22T00:00:00"/>
    <s v="9989012366"/>
    <s v="PANCOAST PIZZA"/>
    <n v="1"/>
    <x v="16"/>
  </r>
  <r>
    <d v="2025-01-22T00:00:00"/>
    <s v="9989012366"/>
    <s v="PANCOAST PIZZA"/>
    <n v="1"/>
    <x v="24"/>
  </r>
  <r>
    <d v="2025-01-22T00:00:00"/>
    <s v="9989012366"/>
    <s v="PANCOAST PIZZA"/>
    <n v="1"/>
    <x v="12"/>
  </r>
  <r>
    <d v="2025-01-22T00:00:00"/>
    <s v="9989012366"/>
    <s v="PANCOAST PIZZA"/>
    <n v="1"/>
    <x v="17"/>
  </r>
  <r>
    <d v="2025-01-22T00:00:00"/>
    <s v="9989012367"/>
    <s v="STARBIRD CHICKEN - PALO ALTO"/>
    <n v="2"/>
    <x v="13"/>
  </r>
  <r>
    <d v="2025-01-22T00:00:00"/>
    <s v="9989012367"/>
    <s v="STARBIRD CHICKEN - PALO ALTO"/>
    <n v="2"/>
    <x v="15"/>
  </r>
  <r>
    <d v="2025-01-22T00:00:00"/>
    <s v="9989012367"/>
    <s v="STARBIRD CHICKEN - PALO ALTO"/>
    <n v="2"/>
    <x v="5"/>
  </r>
  <r>
    <d v="2025-01-22T00:00:00"/>
    <s v="9989012367"/>
    <s v="STARBIRD CHICKEN - PALO ALTO"/>
    <n v="2"/>
    <x v="12"/>
  </r>
  <r>
    <d v="2025-01-22T00:00:00"/>
    <s v="9989012367"/>
    <s v="STARBIRD CHICKEN - PALO ALTO"/>
    <n v="2"/>
    <x v="23"/>
  </r>
  <r>
    <d v="2025-01-22T00:00:00"/>
    <s v="9989012367"/>
    <s v="STARBIRD CHICKEN - PALO ALTO"/>
    <n v="2"/>
    <x v="10"/>
  </r>
  <r>
    <d v="2025-01-22T00:00:00"/>
    <s v="9989012367"/>
    <s v="STARBIRD CHICKEN - PALO ALTO"/>
    <n v="2"/>
    <x v="17"/>
  </r>
  <r>
    <d v="2025-01-22T00:00:00"/>
    <s v="9989012367"/>
    <s v="STARBIRD CHICKEN - PALO ALTO"/>
    <n v="2"/>
    <x v="1"/>
  </r>
  <r>
    <d v="2025-01-22T00:00:00"/>
    <s v="9989012367"/>
    <s v="STARBIRD CHICKEN - PALO ALTO"/>
    <n v="2"/>
    <x v="11"/>
  </r>
  <r>
    <d v="2025-01-22T00:00:00"/>
    <s v="9989012367"/>
    <s v="STARBIRD CHICKEN - PALO ALTO"/>
    <n v="2"/>
    <x v="4"/>
  </r>
  <r>
    <d v="2025-01-22T00:00:00"/>
    <s v="9989012367"/>
    <s v="STARBIRD CHICKEN - PALO ALTO"/>
    <n v="2"/>
    <x v="3"/>
  </r>
  <r>
    <d v="2025-01-22T00:00:00"/>
    <s v="9989012368"/>
    <s v="STATE OF MIND SLICE HOUSE  (PALO ALTO)"/>
    <n v="1"/>
    <x v="8"/>
  </r>
  <r>
    <d v="2025-01-22T00:00:00"/>
    <s v="9989012368"/>
    <s v="STATE OF MIND SLICE HOUSE  (PALO ALTO)"/>
    <n v="1"/>
    <x v="19"/>
  </r>
  <r>
    <d v="2025-01-22T00:00:00"/>
    <s v="9989012368"/>
    <s v="STATE OF MIND SLICE HOUSE  (PALO ALTO)"/>
    <n v="1"/>
    <x v="12"/>
  </r>
  <r>
    <d v="2025-01-22T00:00:00"/>
    <s v="9989012368"/>
    <s v="STATE OF MIND SLICE HOUSE  (PALO ALTO)"/>
    <n v="1"/>
    <x v="17"/>
  </r>
  <r>
    <d v="2025-01-22T00:00:00"/>
    <s v="9989012369"/>
    <s v="ELLIOTTS"/>
    <n v="1"/>
    <x v="14"/>
  </r>
  <r>
    <d v="2025-01-22T00:00:00"/>
    <s v="9989012369"/>
    <s v="ELLIOTTS"/>
    <n v="1"/>
    <x v="15"/>
  </r>
  <r>
    <d v="2025-01-22T00:00:00"/>
    <s v="9989012369"/>
    <s v="ELLIOTTS"/>
    <n v="1"/>
    <x v="8"/>
  </r>
  <r>
    <d v="2025-01-22T00:00:00"/>
    <s v="9989012369"/>
    <s v="ELLIOTTS"/>
    <n v="1"/>
    <x v="12"/>
  </r>
  <r>
    <d v="2025-01-22T00:00:00"/>
    <s v="9989012370"/>
    <s v="STATE OF MIND PUBLIC HOUSE &amp; PIZZERIA (LOS ALTOS)"/>
    <n v="1"/>
    <x v="12"/>
  </r>
  <r>
    <d v="2025-01-22T00:00:00"/>
    <s v="9989012370"/>
    <s v="STATE OF MIND PUBLIC HOUSE &amp; PIZZERIA (LOS ALTOS)"/>
    <n v="1"/>
    <x v="15"/>
  </r>
  <r>
    <d v="2025-01-22T00:00:00"/>
    <s v="9989012370"/>
    <s v="STATE OF MIND PUBLIC HOUSE &amp; PIZZERIA (LOS ALTOS)"/>
    <n v="1"/>
    <x v="8"/>
  </r>
  <r>
    <d v="2025-01-22T00:00:00"/>
    <s v="9989012370"/>
    <s v="STATE OF MIND PUBLIC HOUSE &amp; PIZZERIA (LOS ALTOS)"/>
    <n v="1"/>
    <x v="7"/>
  </r>
  <r>
    <d v="2025-01-22T00:00:00"/>
    <s v="9989012371"/>
    <s v="DANVILLE BREWERY"/>
    <n v="1"/>
    <x v="27"/>
  </r>
  <r>
    <d v="2025-01-22T00:00:00"/>
    <s v="9989012371"/>
    <s v="DANVILLE BREWERY"/>
    <n v="1"/>
    <x v="26"/>
  </r>
  <r>
    <d v="2025-01-22T00:00:00"/>
    <s v="9989012371"/>
    <s v="DANVILLE BREWERY"/>
    <n v="1"/>
    <x v="13"/>
  </r>
  <r>
    <d v="2025-01-22T00:00:00"/>
    <s v="9989012371"/>
    <s v="DANVILLE BREWERY"/>
    <n v="1"/>
    <x v="14"/>
  </r>
  <r>
    <d v="2025-01-22T00:00:00"/>
    <s v="9989012372"/>
    <s v="MONTE CARLO"/>
    <n v="1"/>
    <x v="29"/>
  </r>
  <r>
    <d v="2025-01-22T00:00:00"/>
    <s v="9989012372"/>
    <s v="MONTE CARLO"/>
    <n v="2"/>
    <x v="29"/>
  </r>
  <r>
    <d v="2025-01-22T00:00:00"/>
    <s v="9989012373"/>
    <s v="LUNA LOCA (JAINS FOODS)"/>
    <n v="1"/>
    <x v="8"/>
  </r>
  <r>
    <d v="2025-01-22T00:00:00"/>
    <s v="9989012373"/>
    <s v="LUNA LOCA (JAINS FOODS)"/>
    <n v="1"/>
    <x v="12"/>
  </r>
  <r>
    <d v="2025-01-22T00:00:00"/>
    <s v="9989012373"/>
    <s v="LUNA LOCA (JAINS FOODS)"/>
    <n v="2"/>
    <x v="15"/>
  </r>
  <r>
    <d v="2025-01-22T00:00:00"/>
    <s v="9989012373"/>
    <s v="LUNA LOCA (JAINS FOODS)"/>
    <n v="1"/>
    <x v="7"/>
  </r>
  <r>
    <d v="2025-01-22T00:00:00"/>
    <s v="9989012374"/>
    <s v="STARBIRD CHICKEN - SUNNYVALE"/>
    <n v="1"/>
    <x v="15"/>
  </r>
  <r>
    <d v="2025-01-22T00:00:00"/>
    <s v="9989012374"/>
    <s v="STARBIRD CHICKEN - SUNNYVALE"/>
    <n v="1"/>
    <x v="8"/>
  </r>
  <r>
    <d v="2025-01-22T00:00:00"/>
    <s v="9989012374"/>
    <s v="STARBIRD CHICKEN - SUNNYVALE"/>
    <n v="1"/>
    <x v="12"/>
  </r>
  <r>
    <d v="2025-01-22T00:00:00"/>
    <s v="9989012374"/>
    <s v="STARBIRD CHICKEN - SUNNYVALE"/>
    <n v="2"/>
    <x v="10"/>
  </r>
  <r>
    <d v="2025-01-22T00:00:00"/>
    <s v="9989012374"/>
    <s v="STARBIRD CHICKEN - SUNNYVALE"/>
    <n v="2"/>
    <x v="17"/>
  </r>
  <r>
    <d v="2025-01-22T00:00:00"/>
    <s v="9989012374"/>
    <s v="STARBIRD CHICKEN - SUNNYVALE"/>
    <n v="2"/>
    <x v="1"/>
  </r>
  <r>
    <d v="2025-01-22T00:00:00"/>
    <s v="9989012374"/>
    <s v="STARBIRD CHICKEN - SUNNYVALE"/>
    <n v="2"/>
    <x v="11"/>
  </r>
  <r>
    <d v="2025-01-22T00:00:00"/>
    <s v="9989012374"/>
    <s v="STARBIRD CHICKEN - SUNNYVALE"/>
    <n v="1"/>
    <x v="3"/>
  </r>
  <r>
    <d v="2025-01-22T00:00:00"/>
    <s v="9989012374"/>
    <s v="STARBIRD CHICKEN - SUNNYVALE"/>
    <n v="2"/>
    <x v="4"/>
  </r>
  <r>
    <d v="2025-01-22T00:00:00"/>
    <s v="9989012377"/>
    <s v="STARBIRD CHICKEN - PLEASANTON"/>
    <n v="1"/>
    <x v="15"/>
  </r>
  <r>
    <d v="2025-01-22T00:00:00"/>
    <s v="9989012377"/>
    <s v="STARBIRD CHICKEN - PLEASANTON"/>
    <n v="1"/>
    <x v="5"/>
  </r>
  <r>
    <d v="2025-01-22T00:00:00"/>
    <s v="9989012377"/>
    <s v="STARBIRD CHICKEN - PLEASANTON"/>
    <n v="1"/>
    <x v="10"/>
  </r>
  <r>
    <d v="2025-01-22T00:00:00"/>
    <s v="9989012377"/>
    <s v="STARBIRD CHICKEN - PLEASANTON"/>
    <n v="1"/>
    <x v="17"/>
  </r>
  <r>
    <d v="2025-01-22T00:00:00"/>
    <s v="9989012377"/>
    <s v="STARBIRD CHICKEN - PLEASANTON"/>
    <n v="1"/>
    <x v="23"/>
  </r>
  <r>
    <d v="2025-01-22T00:00:00"/>
    <s v="9989012377"/>
    <s v="STARBIRD CHICKEN - PLEASANTON"/>
    <n v="1"/>
    <x v="12"/>
  </r>
  <r>
    <d v="2025-01-22T00:00:00"/>
    <s v="9989012378"/>
    <s v="A SLICE OF NEW YORK 2"/>
    <n v="1"/>
    <x v="16"/>
  </r>
  <r>
    <d v="2025-01-22T00:00:00"/>
    <s v="9989012378"/>
    <s v="A SLICE OF NEW YORK 2"/>
    <n v="1"/>
    <x v="12"/>
  </r>
  <r>
    <d v="2025-01-22T00:00:00"/>
    <s v="9989012378"/>
    <s v="A SLICE OF NEW YORK 2"/>
    <n v="1"/>
    <x v="15"/>
  </r>
  <r>
    <d v="2025-01-22T00:00:00"/>
    <s v="9989012378"/>
    <s v="A SLICE OF NEW YORK 2"/>
    <n v="2"/>
    <x v="5"/>
  </r>
  <r>
    <d v="2025-01-22T00:00:00"/>
    <s v="9989012378"/>
    <s v="A SLICE OF NEW YORK 2"/>
    <n v="2"/>
    <x v="8"/>
  </r>
  <r>
    <d v="2025-01-22T00:00:00"/>
    <s v="9989012379"/>
    <s v="CALI KID BURGERS AND SHAKES"/>
    <n v="1"/>
    <x v="17"/>
  </r>
  <r>
    <d v="2025-01-22T00:00:00"/>
    <s v="9989012379"/>
    <s v="CALI KID BURGERS AND SHAKES"/>
    <n v="1"/>
    <x v="12"/>
  </r>
  <r>
    <d v="2025-01-22T00:00:00"/>
    <s v="9989012379"/>
    <s v="CALI KID BURGERS AND SHAKES"/>
    <n v="1"/>
    <x v="15"/>
  </r>
  <r>
    <d v="2025-01-22T00:00:00"/>
    <s v="9989012379"/>
    <s v="CALI KID BURGERS AND SHAKES"/>
    <n v="1"/>
    <x v="8"/>
  </r>
  <r>
    <d v="2025-01-22T00:00:00"/>
    <s v="9989012380"/>
    <s v="STARBIRD - TASTES ON THE FLY SF"/>
    <n v="2"/>
    <x v="8"/>
  </r>
  <r>
    <d v="2025-01-22T00:00:00"/>
    <s v="9989012380"/>
    <s v="STARBIRD - TASTES ON THE FLY SF"/>
    <n v="2"/>
    <x v="15"/>
  </r>
  <r>
    <d v="2025-01-22T00:00:00"/>
    <s v="9989012380"/>
    <s v="STARBIRD - TASTES ON THE FLY SF"/>
    <n v="1"/>
    <x v="9"/>
  </r>
  <r>
    <d v="2025-01-22T00:00:00"/>
    <s v="9989012381"/>
    <s v="BRIX BEVERAGE - SAMPLING"/>
    <n v="1"/>
    <x v="11"/>
  </r>
  <r>
    <d v="2025-01-22T00:00:00"/>
    <s v="9989012382"/>
    <s v="ENCINAL MARKET"/>
    <n v="1"/>
    <x v="1"/>
  </r>
  <r>
    <d v="2025-01-22T00:00:00"/>
    <s v="9989012382"/>
    <s v="ENCINAL MARKET"/>
    <n v="1"/>
    <x v="2"/>
  </r>
  <r>
    <d v="2025-01-22T00:00:00"/>
    <s v="9989012382"/>
    <s v="ENCINAL MARKET"/>
    <n v="1"/>
    <x v="0"/>
  </r>
  <r>
    <d v="2025-01-23T00:00:00"/>
    <s v="9989012383"/>
    <s v="ALMANAC"/>
    <n v="4"/>
    <x v="3"/>
  </r>
  <r>
    <d v="2025-01-23T00:00:00"/>
    <s v="9989012383"/>
    <s v="ALMANAC"/>
    <n v="4"/>
    <x v="1"/>
  </r>
  <r>
    <d v="2025-01-23T00:00:00"/>
    <s v="9989012383"/>
    <s v="ALMANAC"/>
    <n v="4"/>
    <x v="4"/>
  </r>
  <r>
    <d v="2025-01-23T00:00:00"/>
    <s v="9989012383"/>
    <s v="ALMANAC"/>
    <n v="6"/>
    <x v="11"/>
  </r>
  <r>
    <d v="2025-01-23T00:00:00"/>
    <s v="9989012383"/>
    <s v="ALMANAC"/>
    <n v="2"/>
    <x v="0"/>
  </r>
  <r>
    <d v="2025-01-23T00:00:00"/>
    <s v="9989012383"/>
    <s v="ALMANAC"/>
    <n v="3"/>
    <x v="2"/>
  </r>
  <r>
    <d v="2025-01-23T00:00:00"/>
    <s v="9989012384"/>
    <s v="ISLAND SAVOY MARKET"/>
    <n v="1"/>
    <x v="11"/>
  </r>
  <r>
    <d v="2025-01-23T00:00:00"/>
    <s v="9989012384"/>
    <s v="ISLAND SAVOY MARKET"/>
    <n v="2"/>
    <x v="1"/>
  </r>
  <r>
    <d v="2025-01-23T00:00:00"/>
    <s v="9989012384"/>
    <s v="ISLAND SAVOY MARKET"/>
    <n v="1"/>
    <x v="3"/>
  </r>
  <r>
    <d v="2025-01-23T00:00:00"/>
    <s v="9989012384"/>
    <s v="ISLAND SAVOY MARKET"/>
    <n v="1"/>
    <x v="2"/>
  </r>
  <r>
    <d v="2025-01-23T00:00:00"/>
    <s v="9989012384"/>
    <s v="ISLAND SAVOY MARKET"/>
    <n v="2"/>
    <x v="0"/>
  </r>
  <r>
    <d v="2025-01-23T00:00:00"/>
    <s v="9989012384"/>
    <s v="ISLAND SAVOY MARKET"/>
    <n v="2"/>
    <x v="4"/>
  </r>
  <r>
    <d v="2025-01-23T00:00:00"/>
    <s v="9989012385"/>
    <s v="HELLO STRANGER"/>
    <n v="2"/>
    <x v="14"/>
  </r>
  <r>
    <d v="2025-01-23T00:00:00"/>
    <s v="9989012385"/>
    <s v="HELLO STRANGER"/>
    <n v="1"/>
    <x v="13"/>
  </r>
  <r>
    <d v="2025-01-23T00:00:00"/>
    <s v="9989012385"/>
    <s v="HELLO STRANGER"/>
    <n v="2"/>
    <x v="28"/>
  </r>
  <r>
    <d v="2025-01-23T00:00:00"/>
    <s v="9989012386"/>
    <s v="HOMETOWN HEROES -SSF"/>
    <n v="2"/>
    <x v="14"/>
  </r>
  <r>
    <d v="2025-01-23T00:00:00"/>
    <s v="9989012386"/>
    <s v="HOMETOWN HEROES -SSF"/>
    <n v="2"/>
    <x v="7"/>
  </r>
  <r>
    <d v="2025-01-23T00:00:00"/>
    <s v="9989012386"/>
    <s v="HOMETOWN HEROES -SSF"/>
    <n v="1"/>
    <x v="8"/>
  </r>
  <r>
    <d v="2025-01-23T00:00:00"/>
    <s v="9989012387"/>
    <s v="LIVERMORE CASINO"/>
    <n v="1"/>
    <x v="26"/>
  </r>
  <r>
    <d v="2025-01-23T00:00:00"/>
    <s v="9989012387"/>
    <s v="LIVERMORE CASINO"/>
    <n v="1"/>
    <x v="13"/>
  </r>
  <r>
    <d v="2025-01-23T00:00:00"/>
    <s v="9989012387"/>
    <s v="LIVERMORE CASINO"/>
    <n v="1"/>
    <x v="12"/>
  </r>
  <r>
    <d v="2025-01-23T00:00:00"/>
    <s v="9989012388"/>
    <s v="THE MELT (DANVILLE)"/>
    <n v="1"/>
    <x v="15"/>
  </r>
  <r>
    <d v="2025-01-23T00:00:00"/>
    <s v="9989012388"/>
    <s v="THE MELT (DANVILLE)"/>
    <n v="1"/>
    <x v="9"/>
  </r>
  <r>
    <d v="2025-01-23T00:00:00"/>
    <s v="9989012388"/>
    <s v="THE MELT (DANVILLE)"/>
    <n v="1"/>
    <x v="5"/>
  </r>
  <r>
    <d v="2025-01-23T00:00:00"/>
    <s v="9989012389"/>
    <s v="UNION STREET ALE HOUSE"/>
    <n v="1"/>
    <x v="10"/>
  </r>
  <r>
    <d v="2025-01-23T00:00:00"/>
    <s v="9989012390"/>
    <s v="SCOLARIS ON PARK ST"/>
    <n v="8"/>
    <x v="1"/>
  </r>
  <r>
    <d v="2025-01-23T00:00:00"/>
    <s v="9989012390"/>
    <s v="SCOLARIS ON PARK ST"/>
    <n v="8"/>
    <x v="4"/>
  </r>
  <r>
    <d v="2025-01-23T00:00:00"/>
    <s v="9989012390"/>
    <s v="SCOLARIS ON PARK ST"/>
    <n v="3"/>
    <x v="11"/>
  </r>
  <r>
    <d v="2025-01-23T00:00:00"/>
    <s v="9989012390"/>
    <s v="SCOLARIS ON PARK ST"/>
    <n v="3"/>
    <x v="3"/>
  </r>
  <r>
    <d v="2025-01-23T00:00:00"/>
    <s v="9989012390"/>
    <s v="SCOLARIS ON PARK ST"/>
    <n v="3"/>
    <x v="2"/>
  </r>
  <r>
    <d v="2025-01-23T00:00:00"/>
    <s v="9989012391"/>
    <s v="LA ROCCA CORNER"/>
    <n v="2"/>
    <x v="15"/>
  </r>
  <r>
    <d v="2025-01-23T00:00:00"/>
    <s v="9989012391"/>
    <s v="LA ROCCA CORNER"/>
    <n v="1"/>
    <x v="19"/>
  </r>
  <r>
    <d v="2025-01-23T00:00:00"/>
    <s v="9989012392"/>
    <s v="LUCKY 13"/>
    <n v="1"/>
    <x v="12"/>
  </r>
  <r>
    <d v="2025-01-23T00:00:00"/>
    <s v="9989012392"/>
    <s v="LUCKY 13"/>
    <n v="1"/>
    <x v="18"/>
  </r>
  <r>
    <d v="2025-01-23T00:00:00"/>
    <s v="9989012392"/>
    <s v="LUCKY 13"/>
    <n v="1"/>
    <x v="14"/>
  </r>
  <r>
    <d v="2025-01-23T00:00:00"/>
    <s v="9989012393"/>
    <s v="SLICE HOUSE"/>
    <n v="1"/>
    <x v="8"/>
  </r>
  <r>
    <d v="2025-01-23T00:00:00"/>
    <s v="9989012393"/>
    <s v="SLICE HOUSE"/>
    <n v="1"/>
    <x v="15"/>
  </r>
  <r>
    <d v="2025-01-23T00:00:00"/>
    <s v="9989012393"/>
    <s v="SLICE HOUSE"/>
    <n v="1"/>
    <x v="12"/>
  </r>
  <r>
    <d v="2025-01-23T00:00:00"/>
    <s v="9989012393"/>
    <s v="SLICE HOUSE"/>
    <n v="1"/>
    <x v="5"/>
  </r>
  <r>
    <d v="2025-01-23T00:00:00"/>
    <s v="9989012394"/>
    <s v="BELLA TRATTORIA"/>
    <n v="2"/>
    <x v="15"/>
  </r>
  <r>
    <d v="2025-01-23T00:00:00"/>
    <s v="9989012396"/>
    <s v="ELKS LODGE FREMONT #2121"/>
    <n v="2"/>
    <x v="8"/>
  </r>
  <r>
    <d v="2025-01-23T00:00:00"/>
    <s v="9989012396"/>
    <s v="ELKS LODGE FREMONT #2121"/>
    <n v="1"/>
    <x v="15"/>
  </r>
  <r>
    <d v="2025-01-23T00:00:00"/>
    <s v="9989012396"/>
    <s v="ELKS LODGE FREMONT #2121"/>
    <n v="1"/>
    <x v="12"/>
  </r>
  <r>
    <d v="2025-01-23T00:00:00"/>
    <s v="9989012397"/>
    <s v="STARBIRD CHICKEN - SAN JOSE"/>
    <n v="2"/>
    <x v="8"/>
  </r>
  <r>
    <d v="2025-01-23T00:00:00"/>
    <s v="9989012397"/>
    <s v="STARBIRD CHICKEN - SAN JOSE"/>
    <n v="1"/>
    <x v="15"/>
  </r>
  <r>
    <d v="2025-01-23T00:00:00"/>
    <s v="9989012397"/>
    <s v="STARBIRD CHICKEN - SAN JOSE"/>
    <n v="1"/>
    <x v="17"/>
  </r>
  <r>
    <d v="2025-01-23T00:00:00"/>
    <s v="9989012397"/>
    <s v="STARBIRD CHICKEN - SAN JOSE"/>
    <n v="1"/>
    <x v="1"/>
  </r>
  <r>
    <d v="2025-01-23T00:00:00"/>
    <s v="9989012397"/>
    <s v="STARBIRD CHICKEN - SAN JOSE"/>
    <n v="1"/>
    <x v="3"/>
  </r>
  <r>
    <d v="2025-01-23T00:00:00"/>
    <s v="9989012398"/>
    <s v="THE STUD"/>
    <n v="2"/>
    <x v="8"/>
  </r>
  <r>
    <d v="2025-01-23T00:00:00"/>
    <s v="9989012398"/>
    <s v="THE STUD"/>
    <n v="1"/>
    <x v="15"/>
  </r>
  <r>
    <d v="2025-01-23T00:00:00"/>
    <s v="9989012398"/>
    <s v="THE STUD"/>
    <n v="2"/>
    <x v="10"/>
  </r>
  <r>
    <d v="2025-01-23T00:00:00"/>
    <s v="9989012398"/>
    <s v="THE STUD"/>
    <n v="2"/>
    <x v="18"/>
  </r>
  <r>
    <d v="2025-01-23T00:00:00"/>
    <s v="9989012398"/>
    <s v="THE STUD"/>
    <n v="2"/>
    <x v="14"/>
  </r>
  <r>
    <d v="2025-01-23T00:00:00"/>
    <s v="9989012399"/>
    <s v="THE MELT (SANTA CLARA 0045)"/>
    <n v="1"/>
    <x v="15"/>
  </r>
  <r>
    <d v="2025-01-23T00:00:00"/>
    <s v="9989012399"/>
    <s v="THE MELT (SANTA CLARA 0045)"/>
    <n v="1"/>
    <x v="8"/>
  </r>
  <r>
    <d v="2025-01-23T00:00:00"/>
    <s v="9989012399"/>
    <s v="THE MELT (SANTA CLARA 0045)"/>
    <n v="1"/>
    <x v="9"/>
  </r>
  <r>
    <d v="2025-01-23T00:00:00"/>
    <s v="9989012401"/>
    <s v="MONROE"/>
    <n v="2"/>
    <x v="14"/>
  </r>
  <r>
    <d v="2025-01-23T00:00:00"/>
    <s v="9989012403"/>
    <s v="THE DIRTY BIRD LOUNGE LLC"/>
    <n v="2"/>
    <x v="10"/>
  </r>
  <r>
    <d v="2025-01-23T00:00:00"/>
    <s v="9989012405"/>
    <s v="THE KYLAN BAR - FOUNTAIN HEAD BAR"/>
    <n v="1"/>
    <x v="10"/>
  </r>
  <r>
    <d v="2025-01-23T00:00:00"/>
    <s v="9989012405"/>
    <s v="THE KYLAN BAR - FOUNTAIN HEAD BAR"/>
    <n v="1"/>
    <x v="19"/>
  </r>
  <r>
    <d v="2025-01-23T00:00:00"/>
    <s v="9989012406"/>
    <s v="STARBIRD CHICKEN - MARINA DEL REY"/>
    <n v="2"/>
    <x v="10"/>
  </r>
  <r>
    <d v="2025-01-23T00:00:00"/>
    <s v="9989012407"/>
    <s v="STRAITS SANTANA ROW"/>
    <n v="1"/>
    <x v="8"/>
  </r>
  <r>
    <d v="2025-01-23T00:00:00"/>
    <s v="9989012407"/>
    <s v="STRAITS SANTANA ROW"/>
    <n v="1"/>
    <x v="28"/>
  </r>
  <r>
    <d v="2025-01-23T00:00:00"/>
    <s v="9989012407"/>
    <s v="STRAITS SANTANA ROW"/>
    <n v="1"/>
    <x v="10"/>
  </r>
  <r>
    <d v="2025-01-24T00:00:00"/>
    <s v="9989012409"/>
    <s v="EAST BAY NATURAL GROCERY"/>
    <n v="3"/>
    <x v="1"/>
  </r>
  <r>
    <d v="2025-01-24T00:00:00"/>
    <s v="9989012409"/>
    <s v="EAST BAY NATURAL GROCERY"/>
    <n v="3"/>
    <x v="11"/>
  </r>
  <r>
    <d v="2025-01-24T00:00:00"/>
    <s v="9989012409"/>
    <s v="EAST BAY NATURAL GROCERY"/>
    <n v="3"/>
    <x v="4"/>
  </r>
  <r>
    <d v="2025-01-24T00:00:00"/>
    <s v="9989012409"/>
    <s v="EAST BAY NATURAL GROCERY"/>
    <n v="1"/>
    <x v="3"/>
  </r>
  <r>
    <d v="2025-01-24T00:00:00"/>
    <s v="9989012409"/>
    <s v="EAST BAY NATURAL GROCERY"/>
    <n v="1"/>
    <x v="2"/>
  </r>
  <r>
    <d v="2025-01-24T00:00:00"/>
    <s v="9989012409"/>
    <s v="EAST BAY NATURAL GROCERY"/>
    <n v="2"/>
    <x v="0"/>
  </r>
  <r>
    <d v="2025-01-24T00:00:00"/>
    <s v="9989012410"/>
    <s v="GATHER"/>
    <n v="3"/>
    <x v="11"/>
  </r>
  <r>
    <d v="2025-01-24T00:00:00"/>
    <s v="9989012410"/>
    <s v="GATHER"/>
    <n v="2"/>
    <x v="1"/>
  </r>
  <r>
    <d v="2025-01-24T00:00:00"/>
    <s v="9989012411"/>
    <s v="STARBIRD CHICKEN - CORTE MADERA"/>
    <n v="1"/>
    <x v="8"/>
  </r>
  <r>
    <d v="2025-01-24T00:00:00"/>
    <s v="9989012411"/>
    <s v="STARBIRD CHICKEN - CORTE MADERA"/>
    <n v="1"/>
    <x v="10"/>
  </r>
  <r>
    <d v="2025-01-24T00:00:00"/>
    <s v="9989012411"/>
    <s v="STARBIRD CHICKEN - CORTE MADERA"/>
    <n v="1"/>
    <x v="5"/>
  </r>
  <r>
    <d v="2025-01-24T00:00:00"/>
    <s v="9989012411"/>
    <s v="STARBIRD CHICKEN - CORTE MADERA"/>
    <n v="1"/>
    <x v="17"/>
  </r>
  <r>
    <d v="2025-01-24T00:00:00"/>
    <s v="9989012411"/>
    <s v="STARBIRD CHICKEN - CORTE MADERA"/>
    <n v="1"/>
    <x v="23"/>
  </r>
  <r>
    <d v="2025-01-24T00:00:00"/>
    <s v="9989012412"/>
    <s v="THE JUNCTION"/>
    <n v="2"/>
    <x v="24"/>
  </r>
  <r>
    <d v="2025-01-24T00:00:00"/>
    <s v="9989012412"/>
    <s v="THE JUNCTION"/>
    <n v="2"/>
    <x v="7"/>
  </r>
  <r>
    <d v="2025-01-24T00:00:00"/>
    <s v="9989012412"/>
    <s v="THE JUNCTION"/>
    <n v="1"/>
    <x v="25"/>
  </r>
  <r>
    <d v="2025-01-24T00:00:00"/>
    <s v="9989012413"/>
    <s v="HOLE IN THE WALL"/>
    <n v="1"/>
    <x v="13"/>
  </r>
  <r>
    <d v="2025-01-24T00:00:00"/>
    <s v="9989012413"/>
    <s v="HOLE IN THE WALL"/>
    <n v="1"/>
    <x v="14"/>
  </r>
  <r>
    <d v="2025-01-24T00:00:00"/>
    <s v="9989012413"/>
    <s v="HOLE IN THE WALL"/>
    <n v="1"/>
    <x v="19"/>
  </r>
  <r>
    <d v="2025-01-24T00:00:00"/>
    <s v="9989012413"/>
    <s v="HOLE IN THE WALL"/>
    <n v="1"/>
    <x v="18"/>
  </r>
  <r>
    <d v="2025-01-24T00:00:00"/>
    <s v="9989012415"/>
    <s v="PROJECT BURGER"/>
    <n v="1"/>
    <x v="8"/>
  </r>
  <r>
    <d v="2025-01-24T00:00:00"/>
    <s v="9989012415"/>
    <s v="PROJECT BURGER"/>
    <n v="1"/>
    <x v="9"/>
  </r>
  <r>
    <d v="2025-01-24T00:00:00"/>
    <s v="9989012415"/>
    <s v="PROJECT BURGER"/>
    <n v="1"/>
    <x v="5"/>
  </r>
  <r>
    <d v="2025-01-24T00:00:00"/>
    <s v="9989012415"/>
    <s v="PROJECT BURGER"/>
    <n v="1"/>
    <x v="16"/>
  </r>
  <r>
    <d v="2025-01-24T00:00:00"/>
    <s v="9989012415"/>
    <s v="PROJECT BURGER"/>
    <n v="1"/>
    <x v="10"/>
  </r>
  <r>
    <d v="2025-01-24T00:00:00"/>
    <s v="9989012415"/>
    <s v="PROJECT BURGER"/>
    <n v="1"/>
    <x v="7"/>
  </r>
  <r>
    <d v="2025-01-24T00:00:00"/>
    <s v="9989012415"/>
    <s v="PROJECT BURGER"/>
    <n v="2"/>
    <x v="1"/>
  </r>
  <r>
    <d v="2025-01-24T00:00:00"/>
    <s v="9989012415"/>
    <s v="PROJECT BURGER"/>
    <n v="1"/>
    <x v="11"/>
  </r>
  <r>
    <d v="2025-01-24T00:00:00"/>
    <s v="9989012415"/>
    <s v="PROJECT BURGER"/>
    <n v="1"/>
    <x v="3"/>
  </r>
  <r>
    <d v="2025-01-24T00:00:00"/>
    <s v="9989012415"/>
    <s v="PROJECT BURGER"/>
    <n v="1"/>
    <x v="4"/>
  </r>
  <r>
    <d v="2025-01-24T00:00:00"/>
    <s v="9989012415"/>
    <s v="PROJECT BURGER"/>
    <n v="1"/>
    <x v="2"/>
  </r>
  <r>
    <d v="2025-01-24T00:00:00"/>
    <s v="9989012415"/>
    <s v="PROJECT BURGER"/>
    <n v="1"/>
    <x v="0"/>
  </r>
  <r>
    <d v="2025-01-24T00:00:00"/>
    <s v="9989012416"/>
    <s v="SIDESTREET PHO"/>
    <n v="2"/>
    <x v="8"/>
  </r>
  <r>
    <d v="2025-01-24T00:00:00"/>
    <s v="9989012417"/>
    <s v="BALTIC KISS"/>
    <n v="1"/>
    <x v="18"/>
  </r>
  <r>
    <d v="2025-01-24T00:00:00"/>
    <s v="9989012417"/>
    <s v="BALTIC KISS"/>
    <n v="1"/>
    <x v="14"/>
  </r>
  <r>
    <d v="2025-01-24T00:00:00"/>
    <s v="9989012418"/>
    <s v="FACTION BREWING"/>
    <n v="6"/>
    <x v="4"/>
  </r>
  <r>
    <d v="2025-01-24T00:00:00"/>
    <s v="9989012418"/>
    <s v="FACTION BREWING"/>
    <n v="4"/>
    <x v="0"/>
  </r>
  <r>
    <d v="2025-01-24T00:00:00"/>
    <s v="9989012419"/>
    <s v="VICTORS BAR"/>
    <n v="1"/>
    <x v="28"/>
  </r>
  <r>
    <d v="2025-01-24T00:00:00"/>
    <s v="9989012419"/>
    <s v="VICTORS BAR"/>
    <n v="1"/>
    <x v="12"/>
  </r>
  <r>
    <d v="2025-01-24T00:00:00"/>
    <s v="9989012419"/>
    <s v="VICTORS BAR"/>
    <n v="1"/>
    <x v="29"/>
  </r>
  <r>
    <d v="2025-01-24T00:00:00"/>
    <s v="9989012420"/>
    <s v="CAFE SOLIEL"/>
    <n v="2"/>
    <x v="13"/>
  </r>
  <r>
    <d v="2025-01-24T00:00:00"/>
    <s v="9989012420"/>
    <s v="CAFE SOLIEL"/>
    <n v="1"/>
    <x v="7"/>
  </r>
  <r>
    <d v="2025-01-24T00:00:00"/>
    <s v="9989012420"/>
    <s v="CAFE SOLIEL"/>
    <n v="1"/>
    <x v="6"/>
  </r>
  <r>
    <d v="2025-01-24T00:00:00"/>
    <s v="9989012420"/>
    <s v="CAFE SOLIEL"/>
    <n v="1"/>
    <x v="5"/>
  </r>
  <r>
    <d v="2025-01-24T00:00:00"/>
    <s v="9989012420"/>
    <s v="CAFE SOLIEL"/>
    <n v="1"/>
    <x v="10"/>
  </r>
  <r>
    <d v="2025-01-27T00:00:00"/>
    <s v="9989012421"/>
    <s v="THE MELT (SACRAMENTO-BLVD)"/>
    <n v="3"/>
    <x v="16"/>
  </r>
  <r>
    <d v="2025-01-27T00:00:00"/>
    <s v="9989012421"/>
    <s v="THE MELT (SACRAMENTO-BLVD)"/>
    <n v="3"/>
    <x v="8"/>
  </r>
  <r>
    <d v="2025-01-27T00:00:00"/>
    <s v="9989012421"/>
    <s v="THE MELT (SACRAMENTO-BLVD)"/>
    <n v="3"/>
    <x v="5"/>
  </r>
  <r>
    <d v="2025-01-27T00:00:00"/>
    <s v="9989012421"/>
    <s v="THE MELT (SACRAMENTO-BLVD)"/>
    <n v="1"/>
    <x v="15"/>
  </r>
  <r>
    <d v="2025-01-27T00:00:00"/>
    <s v="9989012421"/>
    <s v="THE MELT (SACRAMENTO-BLVD)"/>
    <n v="1"/>
    <x v="10"/>
  </r>
  <r>
    <d v="2025-01-27T00:00:00"/>
    <s v="9989012421"/>
    <s v="THE MELT (SACRAMENTO-BLVD)"/>
    <n v="1"/>
    <x v="12"/>
  </r>
  <r>
    <d v="2025-01-27T00:00:00"/>
    <s v="9989012421"/>
    <s v="THE MELT (SACRAMENTO-BLVD)"/>
    <n v="1"/>
    <x v="9"/>
  </r>
  <r>
    <d v="2025-01-27T00:00:00"/>
    <s v="9989012422"/>
    <s v="THE MELT (FOLSOM)"/>
    <n v="1"/>
    <x v="16"/>
  </r>
  <r>
    <d v="2025-01-27T00:00:00"/>
    <s v="9989012422"/>
    <s v="THE MELT (FOLSOM)"/>
    <n v="2"/>
    <x v="8"/>
  </r>
  <r>
    <d v="2025-01-27T00:00:00"/>
    <s v="9989012422"/>
    <s v="THE MELT (FOLSOM)"/>
    <n v="1"/>
    <x v="15"/>
  </r>
  <r>
    <d v="2025-01-27T00:00:00"/>
    <s v="9989012422"/>
    <s v="THE MELT (FOLSOM)"/>
    <n v="1"/>
    <x v="10"/>
  </r>
  <r>
    <d v="2025-01-27T00:00:00"/>
    <s v="9989012422"/>
    <s v="THE MELT (FOLSOM)"/>
    <n v="1"/>
    <x v="12"/>
  </r>
  <r>
    <d v="2025-01-27T00:00:00"/>
    <s v="9989012422"/>
    <s v="THE MELT (FOLSOM)"/>
    <n v="1"/>
    <x v="9"/>
  </r>
  <r>
    <d v="2025-01-27T00:00:00"/>
    <s v="9989012422"/>
    <s v="THE MELT (FOLSOM)"/>
    <n v="1"/>
    <x v="5"/>
  </r>
  <r>
    <d v="2025-01-27T00:00:00"/>
    <s v="9989012423"/>
    <s v="VINE &amp; GRAIN"/>
    <n v="1"/>
    <x v="15"/>
  </r>
  <r>
    <d v="2025-01-27T00:00:00"/>
    <s v="9989012423"/>
    <s v="VINE &amp; GRAIN"/>
    <n v="1"/>
    <x v="8"/>
  </r>
  <r>
    <d v="2025-01-27T00:00:00"/>
    <s v="9989012423"/>
    <s v="VINE &amp; GRAIN"/>
    <n v="1"/>
    <x v="12"/>
  </r>
  <r>
    <d v="2025-01-27T00:00:00"/>
    <s v="9989012423"/>
    <s v="VINE &amp; GRAIN"/>
    <n v="1"/>
    <x v="7"/>
  </r>
  <r>
    <d v="2025-01-28T00:00:00"/>
    <s v="9989012424"/>
    <s v="FIREBRAND-ALAMEDA"/>
    <n v="4"/>
    <x v="2"/>
  </r>
  <r>
    <d v="2025-01-28T00:00:00"/>
    <s v="9989012424"/>
    <s v="FIREBRAND-ALAMEDA"/>
    <n v="4"/>
    <x v="4"/>
  </r>
  <r>
    <d v="2025-01-28T00:00:00"/>
    <s v="9989012424"/>
    <s v="FIREBRAND-ALAMEDA"/>
    <n v="4"/>
    <x v="0"/>
  </r>
  <r>
    <d v="2025-01-28T00:00:00"/>
    <s v="9989012424"/>
    <s v="FIREBRAND-ALAMEDA"/>
    <n v="1"/>
    <x v="1"/>
  </r>
  <r>
    <d v="2025-01-28T00:00:00"/>
    <s v="9989012424"/>
    <s v="FIREBRAND-ALAMEDA"/>
    <n v="1"/>
    <x v="3"/>
  </r>
  <r>
    <d v="2025-01-28T00:00:00"/>
    <s v="9989012425"/>
    <s v="PIXAR ANIMATION STUDIOS"/>
    <n v="1"/>
    <x v="10"/>
  </r>
  <r>
    <d v="2025-01-28T00:00:00"/>
    <s v="9989012425"/>
    <s v="PIXAR ANIMATION STUDIOS"/>
    <n v="1"/>
    <x v="12"/>
  </r>
  <r>
    <d v="2025-01-28T00:00:00"/>
    <s v="9989012425"/>
    <s v="PIXAR ANIMATION STUDIOS"/>
    <n v="1"/>
    <x v="6"/>
  </r>
  <r>
    <d v="2025-01-28T00:00:00"/>
    <s v="9989012425"/>
    <s v="PIXAR ANIMATION STUDIOS"/>
    <n v="1"/>
    <x v="7"/>
  </r>
  <r>
    <d v="2025-01-28T00:00:00"/>
    <s v="9989012426"/>
    <s v="THE MELT (455 MARKET)"/>
    <n v="3"/>
    <x v="8"/>
  </r>
  <r>
    <d v="2025-01-28T00:00:00"/>
    <s v="9989012426"/>
    <s v="THE MELT (455 MARKET)"/>
    <n v="2"/>
    <x v="5"/>
  </r>
  <r>
    <d v="2025-01-28T00:00:00"/>
    <s v="9989012426"/>
    <s v="THE MELT (455 MARKET)"/>
    <n v="2"/>
    <x v="9"/>
  </r>
  <r>
    <d v="2025-01-28T00:00:00"/>
    <s v="9989012426"/>
    <s v="THE MELT (455 MARKET)"/>
    <n v="1"/>
    <x v="12"/>
  </r>
  <r>
    <d v="2025-01-28T00:00:00"/>
    <s v="9989012426"/>
    <s v="THE MELT (455 MARKET)"/>
    <n v="2"/>
    <x v="15"/>
  </r>
  <r>
    <d v="2025-01-28T00:00:00"/>
    <s v="9989012426"/>
    <s v="THE MELT (455 MARKET)"/>
    <n v="1"/>
    <x v="10"/>
  </r>
  <r>
    <d v="2025-01-28T00:00:00"/>
    <s v="9989012427"/>
    <s v="LARAS FINE DINING"/>
    <n v="1"/>
    <x v="14"/>
  </r>
  <r>
    <d v="2025-01-28T00:00:00"/>
    <s v="9989012427"/>
    <s v="LARAS FINE DINING"/>
    <n v="2"/>
    <x v="19"/>
  </r>
  <r>
    <d v="2025-01-28T00:00:00"/>
    <s v="9989012427"/>
    <s v="LARAS FINE DINING"/>
    <n v="1"/>
    <x v="8"/>
  </r>
  <r>
    <d v="2025-01-28T00:00:00"/>
    <s v="9989012427"/>
    <s v="LARAS FINE DINING"/>
    <n v="1"/>
    <x v="26"/>
  </r>
  <r>
    <d v="2025-01-28T00:00:00"/>
    <s v="9989012427"/>
    <s v="LARAS FINE DINING"/>
    <n v="3"/>
    <x v="12"/>
  </r>
  <r>
    <d v="2025-01-28T00:00:00"/>
    <s v="9989012427"/>
    <s v="LARAS FINE DINING"/>
    <n v="3"/>
    <x v="7"/>
  </r>
  <r>
    <d v="2025-01-28T00:00:00"/>
    <s v="9989012427"/>
    <s v="LARAS FINE DINING"/>
    <n v="1"/>
    <x v="26"/>
  </r>
  <r>
    <d v="2025-01-28T00:00:00"/>
    <s v="9989012428"/>
    <s v="THE MELT (925 MARKET)"/>
    <n v="3"/>
    <x v="8"/>
  </r>
  <r>
    <d v="2025-01-28T00:00:00"/>
    <s v="9989012428"/>
    <s v="THE MELT (925 MARKET)"/>
    <n v="3"/>
    <x v="15"/>
  </r>
  <r>
    <d v="2025-01-28T00:00:00"/>
    <s v="9989012428"/>
    <s v="THE MELT (925 MARKET)"/>
    <n v="3"/>
    <x v="10"/>
  </r>
  <r>
    <d v="2025-01-28T00:00:00"/>
    <s v="9989012428"/>
    <s v="THE MELT (925 MARKET)"/>
    <n v="3"/>
    <x v="12"/>
  </r>
  <r>
    <d v="2025-01-28T00:00:00"/>
    <s v="9989012428"/>
    <s v="THE MELT (925 MARKET)"/>
    <n v="3"/>
    <x v="9"/>
  </r>
  <r>
    <d v="2025-01-28T00:00:00"/>
    <s v="9989012428"/>
    <s v="THE MELT (925 MARKET)"/>
    <n v="4"/>
    <x v="5"/>
  </r>
  <r>
    <d v="2025-01-28T00:00:00"/>
    <s v="9989012429"/>
    <s v="BIANCOVERDE-(HOTEL MAC)"/>
    <n v="1"/>
    <x v="8"/>
  </r>
  <r>
    <d v="2025-01-28T00:00:00"/>
    <s v="9989012429"/>
    <s v="BIANCOVERDE-(HOTEL MAC)"/>
    <n v="1"/>
    <x v="12"/>
  </r>
  <r>
    <d v="2025-01-28T00:00:00"/>
    <s v="9989012429"/>
    <s v="BIANCOVERDE-(HOTEL MAC)"/>
    <n v="1"/>
    <x v="18"/>
  </r>
  <r>
    <d v="2025-01-28T00:00:00"/>
    <s v="9989012429"/>
    <s v="BIANCOVERDE-(HOTEL MAC)"/>
    <n v="1"/>
    <x v="10"/>
  </r>
  <r>
    <d v="2025-01-28T00:00:00"/>
    <s v="9989012430"/>
    <s v="STARBIRD CHICKEN - SF CLOUD"/>
    <n v="4"/>
    <x v="1"/>
  </r>
  <r>
    <d v="2025-01-28T00:00:00"/>
    <s v="9989012430"/>
    <s v="STARBIRD CHICKEN - SF CLOUD"/>
    <n v="2"/>
    <x v="11"/>
  </r>
  <r>
    <d v="2025-01-28T00:00:00"/>
    <s v="9989012430"/>
    <s v="STARBIRD CHICKEN - SF CLOUD"/>
    <n v="4"/>
    <x v="3"/>
  </r>
  <r>
    <d v="2025-01-28T00:00:00"/>
    <s v="9989012430"/>
    <s v="STARBIRD CHICKEN - SF CLOUD"/>
    <n v="2"/>
    <x v="4"/>
  </r>
  <r>
    <d v="2025-01-28T00:00:00"/>
    <s v="9989012431"/>
    <s v="THE RANCHO SALOON"/>
    <n v="1"/>
    <x v="12"/>
  </r>
  <r>
    <d v="2025-01-28T00:00:00"/>
    <s v="9989012431"/>
    <s v="THE RANCHO SALOON"/>
    <n v="1"/>
    <x v="14"/>
  </r>
  <r>
    <d v="2025-01-28T00:00:00"/>
    <s v="9989012432"/>
    <s v="UCSF MEDICAL CENTER MISSION BAY"/>
    <n v="1"/>
    <x v="26"/>
  </r>
  <r>
    <d v="2025-01-28T00:00:00"/>
    <s v="9989012432"/>
    <s v="UCSF MEDICAL CENTER MISSION BAY"/>
    <n v="1"/>
    <x v="31"/>
  </r>
  <r>
    <d v="2025-01-28T00:00:00"/>
    <s v="9989012432"/>
    <s v="UCSF MEDICAL CENTER MISSION BAY"/>
    <n v="1"/>
    <x v="34"/>
  </r>
  <r>
    <d v="2025-01-28T00:00:00"/>
    <s v="9989012432"/>
    <s v="UCSF MEDICAL CENTER MISSION BAY"/>
    <n v="1"/>
    <x v="36"/>
  </r>
  <r>
    <d v="2025-01-28T00:00:00"/>
    <s v="9989012433"/>
    <s v="THE DEAD FISH"/>
    <n v="1"/>
    <x v="26"/>
  </r>
  <r>
    <d v="2025-01-28T00:00:00"/>
    <s v="9989012433"/>
    <s v="THE DEAD FISH"/>
    <n v="1"/>
    <x v="13"/>
  </r>
  <r>
    <d v="2025-01-28T00:00:00"/>
    <s v="9989012433"/>
    <s v="THE DEAD FISH"/>
    <n v="1"/>
    <x v="27"/>
  </r>
  <r>
    <d v="2025-01-28T00:00:00"/>
    <s v="9989012433"/>
    <s v="THE DEAD FISH"/>
    <n v="2"/>
    <x v="14"/>
  </r>
  <r>
    <d v="2025-01-28T00:00:00"/>
    <s v="9989012433"/>
    <s v="THE DEAD FISH"/>
    <n v="2"/>
    <x v="7"/>
  </r>
  <r>
    <d v="2025-01-28T00:00:00"/>
    <s v="9989012433"/>
    <s v="THE DEAD FISH"/>
    <n v="2"/>
    <x v="24"/>
  </r>
  <r>
    <d v="2025-01-28T00:00:00"/>
    <s v="9989012433"/>
    <s v="THE DEAD FISH"/>
    <n v="2"/>
    <x v="19"/>
  </r>
  <r>
    <d v="2025-01-28T00:00:00"/>
    <s v="9989012433"/>
    <s v="THE DEAD FISH"/>
    <n v="1"/>
    <x v="18"/>
  </r>
  <r>
    <d v="2025-01-28T00:00:00"/>
    <s v="9989012434"/>
    <s v="TOP DOG #3 LAK"/>
    <n v="2"/>
    <x v="13"/>
  </r>
  <r>
    <d v="2025-01-28T00:00:00"/>
    <s v="9989012434"/>
    <s v="TOP DOG #3 LAK"/>
    <n v="1"/>
    <x v="26"/>
  </r>
  <r>
    <d v="2025-01-28T00:00:00"/>
    <s v="9989012434"/>
    <s v="TOP DOG #3 LAK"/>
    <n v="1"/>
    <x v="27"/>
  </r>
  <r>
    <d v="2025-01-28T00:00:00"/>
    <s v="9989012434"/>
    <s v="TOP DOG #3 LAK"/>
    <n v="1"/>
    <x v="5"/>
  </r>
  <r>
    <d v="2025-01-28T00:00:00"/>
    <s v="9989012434"/>
    <s v="TOP DOG #3 LAK"/>
    <n v="3"/>
    <x v="7"/>
  </r>
  <r>
    <d v="2025-01-28T00:00:00"/>
    <s v="9989012434"/>
    <s v="TOP DOG #3 LAK"/>
    <n v="4"/>
    <x v="5"/>
  </r>
  <r>
    <d v="2025-01-28T00:00:00"/>
    <s v="9989012435"/>
    <s v="THE MELT (IRVINE SPECTRUM)"/>
    <n v="2"/>
    <x v="16"/>
  </r>
  <r>
    <d v="2025-01-28T00:00:00"/>
    <s v="9989012435"/>
    <s v="THE MELT (IRVINE SPECTRUM)"/>
    <n v="3"/>
    <x v="8"/>
  </r>
  <r>
    <d v="2025-01-28T00:00:00"/>
    <s v="9989012435"/>
    <s v="THE MELT (IRVINE SPECTRUM)"/>
    <n v="1"/>
    <x v="15"/>
  </r>
  <r>
    <d v="2025-01-28T00:00:00"/>
    <s v="9989012435"/>
    <s v="THE MELT (IRVINE SPECTRUM)"/>
    <n v="1"/>
    <x v="12"/>
  </r>
  <r>
    <d v="2025-01-28T00:00:00"/>
    <s v="9989012435"/>
    <s v="THE MELT (IRVINE SPECTRUM)"/>
    <n v="2"/>
    <x v="5"/>
  </r>
  <r>
    <d v="2025-01-28T00:00:00"/>
    <s v="9989012437"/>
    <s v="COLOMBO CLUB INC"/>
    <n v="2"/>
    <x v="18"/>
  </r>
  <r>
    <d v="2025-01-28T00:00:00"/>
    <s v="9989012437"/>
    <s v="COLOMBO CLUB INC"/>
    <n v="1"/>
    <x v="19"/>
  </r>
  <r>
    <d v="2025-01-28T00:00:00"/>
    <s v="9989012437"/>
    <s v="COLOMBO CLUB INC"/>
    <n v="1"/>
    <x v="14"/>
  </r>
  <r>
    <d v="2025-01-28T00:00:00"/>
    <s v="9989012437"/>
    <s v="COLOMBO CLUB INC"/>
    <n v="1"/>
    <x v="8"/>
  </r>
  <r>
    <d v="2025-01-28T00:00:00"/>
    <s v="9989012438"/>
    <s v="EDS PLACE"/>
    <n v="1"/>
    <x v="12"/>
  </r>
  <r>
    <d v="2025-01-28T00:00:00"/>
    <s v="9989012438"/>
    <s v="EDS PLACE"/>
    <n v="1"/>
    <x v="8"/>
  </r>
  <r>
    <d v="2025-01-28T00:00:00"/>
    <s v="9989012440"/>
    <s v="THE FACTORY BAR"/>
    <n v="1"/>
    <x v="14"/>
  </r>
  <r>
    <d v="2025-01-28T00:00:00"/>
    <s v="9989012441"/>
    <s v="VJ'S SPORTS AND PIZZA"/>
    <n v="1"/>
    <x v="12"/>
  </r>
  <r>
    <d v="2025-01-28T00:00:00"/>
    <s v="9989012441"/>
    <s v="VJ'S SPORTS AND PIZZA"/>
    <n v="1"/>
    <x v="10"/>
  </r>
  <r>
    <d v="2025-01-28T00:00:00"/>
    <s v="9989012441"/>
    <s v="VJ'S SPORTS AND PIZZA"/>
    <n v="1"/>
    <x v="14"/>
  </r>
  <r>
    <d v="2025-01-28T00:00:00"/>
    <s v="9989012442"/>
    <s v="THE RED ONION - EL CERRITO"/>
    <n v="1"/>
    <x v="7"/>
  </r>
  <r>
    <d v="2025-01-28T00:00:00"/>
    <s v="9989012442"/>
    <s v="THE RED ONION - EL CERRITO"/>
    <n v="1"/>
    <x v="12"/>
  </r>
  <r>
    <d v="2025-01-28T00:00:00"/>
    <s v="9989012442"/>
    <s v="THE RED ONION - EL CERRITO"/>
    <n v="1"/>
    <x v="5"/>
  </r>
  <r>
    <d v="2025-01-28T00:00:00"/>
    <s v="9989012442"/>
    <s v="THE RED ONION - EL CERRITO"/>
    <n v="1"/>
    <x v="6"/>
  </r>
  <r>
    <d v="2025-01-28T00:00:00"/>
    <s v="9989012443"/>
    <s v="CLUB MALLARD"/>
    <n v="1"/>
    <x v="18"/>
  </r>
  <r>
    <d v="2025-01-28T00:00:00"/>
    <s v="9989012444"/>
    <s v="HOTSY TOTSY CLUB"/>
    <n v="1"/>
    <x v="18"/>
  </r>
  <r>
    <d v="2025-01-28T00:00:00"/>
    <s v="9989012444"/>
    <s v="HOTSY TOTSY CLUB"/>
    <n v="1"/>
    <x v="12"/>
  </r>
  <r>
    <d v="2025-01-28T00:00:00"/>
    <s v="9989012444"/>
    <s v="HOTSY TOTSY CLUB"/>
    <n v="1"/>
    <x v="15"/>
  </r>
  <r>
    <d v="2025-01-28T00:00:00"/>
    <s v="9989012445"/>
    <s v="TRIPLE ROCK BREWING COMPANY"/>
    <n v="1"/>
    <x v="24"/>
  </r>
  <r>
    <d v="2025-01-28T00:00:00"/>
    <s v="9989012445"/>
    <s v="TRIPLE ROCK BREWING COMPANY"/>
    <n v="1"/>
    <x v="7"/>
  </r>
  <r>
    <d v="2025-01-28T00:00:00"/>
    <s v="9989012445"/>
    <s v="TRIPLE ROCK BREWING COMPANY"/>
    <n v="2"/>
    <x v="10"/>
  </r>
  <r>
    <d v="2025-01-28T00:00:00"/>
    <s v="9989012445"/>
    <s v="TRIPLE ROCK BREWING COMPANY"/>
    <n v="1"/>
    <x v="8"/>
  </r>
  <r>
    <d v="2025-01-28T00:00:00"/>
    <s v="9989012445"/>
    <s v="TRIPLE ROCK BREWING COMPANY"/>
    <n v="1"/>
    <x v="5"/>
  </r>
  <r>
    <d v="2025-01-28T00:00:00"/>
    <s v="9989012445"/>
    <s v="TRIPLE ROCK BREWING COMPANY"/>
    <n v="1"/>
    <x v="12"/>
  </r>
  <r>
    <d v="2025-01-28T00:00:00"/>
    <s v="9989012446"/>
    <s v="SPATS"/>
    <n v="1"/>
    <x v="12"/>
  </r>
  <r>
    <d v="2025-01-29T00:00:00"/>
    <s v="9989012447"/>
    <s v="DIABLO FOODS"/>
    <n v="3"/>
    <x v="11"/>
  </r>
  <r>
    <d v="2025-01-29T00:00:00"/>
    <s v="9989012447"/>
    <s v="DIABLO FOODS"/>
    <n v="3"/>
    <x v="4"/>
  </r>
  <r>
    <d v="2025-01-29T00:00:00"/>
    <s v="9989012447"/>
    <s v="DIABLO FOODS"/>
    <n v="1"/>
    <x v="1"/>
  </r>
  <r>
    <d v="2025-01-29T00:00:00"/>
    <s v="9989012448"/>
    <s v="THE STAR ON PARK"/>
    <n v="1"/>
    <x v="18"/>
  </r>
  <r>
    <d v="2025-01-29T00:00:00"/>
    <s v="9989012448"/>
    <s v="THE STAR ON PARK"/>
    <n v="1"/>
    <x v="12"/>
  </r>
  <r>
    <d v="2025-01-29T00:00:00"/>
    <s v="9989012448"/>
    <s v="THE STAR ON PARK"/>
    <n v="1"/>
    <x v="8"/>
  </r>
  <r>
    <d v="2025-01-29T00:00:00"/>
    <s v="9989012449"/>
    <s v="CRYBABY"/>
    <n v="1"/>
    <x v="8"/>
  </r>
  <r>
    <d v="2025-01-29T00:00:00"/>
    <s v="9989012449"/>
    <s v="CRYBABY"/>
    <n v="1"/>
    <x v="14"/>
  </r>
  <r>
    <d v="2025-01-29T00:00:00"/>
    <s v="9989012449"/>
    <s v="CRYBABY"/>
    <n v="1"/>
    <x v="10"/>
  </r>
  <r>
    <d v="2025-01-29T00:00:00"/>
    <s v="9989012449"/>
    <s v="CRYBABY"/>
    <n v="2"/>
    <x v="28"/>
  </r>
  <r>
    <d v="2025-01-29T00:00:00"/>
    <s v="9989012450"/>
    <s v="PORTAL OAKLAND INC"/>
    <n v="1"/>
    <x v="8"/>
  </r>
  <r>
    <d v="2025-01-29T00:00:00"/>
    <s v="9989012450"/>
    <s v="PORTAL OAKLAND INC"/>
    <n v="1"/>
    <x v="14"/>
  </r>
  <r>
    <d v="2025-01-29T00:00:00"/>
    <s v="9989012450"/>
    <s v="PORTAL OAKLAND INC"/>
    <n v="1"/>
    <x v="24"/>
  </r>
  <r>
    <d v="2025-01-29T00:00:00"/>
    <s v="9989012450"/>
    <s v="PORTAL OAKLAND INC"/>
    <n v="1"/>
    <x v="10"/>
  </r>
  <r>
    <d v="2025-01-29T00:00:00"/>
    <s v="9989012451"/>
    <s v="STARBIRD CHICKEN - SOUTH SAN FRANCISCO"/>
    <n v="2"/>
    <x v="23"/>
  </r>
  <r>
    <d v="2025-01-29T00:00:00"/>
    <s v="9989012451"/>
    <s v="STARBIRD CHICKEN - SOUTH SAN FRANCISCO"/>
    <n v="2"/>
    <x v="8"/>
  </r>
  <r>
    <d v="2025-01-29T00:00:00"/>
    <s v="9989012451"/>
    <s v="STARBIRD CHICKEN - SOUTH SAN FRANCISCO"/>
    <n v="2"/>
    <x v="5"/>
  </r>
  <r>
    <d v="2025-01-29T00:00:00"/>
    <s v="9989012451"/>
    <s v="STARBIRD CHICKEN - SOUTH SAN FRANCISCO"/>
    <n v="4"/>
    <x v="1"/>
  </r>
  <r>
    <d v="2025-01-29T00:00:00"/>
    <s v="9989012451"/>
    <s v="STARBIRD CHICKEN - SOUTH SAN FRANCISCO"/>
    <n v="2"/>
    <x v="11"/>
  </r>
  <r>
    <d v="2025-01-29T00:00:00"/>
    <s v="9989012451"/>
    <s v="STARBIRD CHICKEN - SOUTH SAN FRANCISCO"/>
    <n v="4"/>
    <x v="4"/>
  </r>
  <r>
    <d v="2025-01-29T00:00:00"/>
    <s v="9989012451"/>
    <s v="STARBIRD CHICKEN - SOUTH SAN FRANCISCO"/>
    <n v="1"/>
    <x v="3"/>
  </r>
  <r>
    <d v="2025-01-29T00:00:00"/>
    <s v="9989012452"/>
    <s v="THE YARD"/>
    <n v="1"/>
    <x v="13"/>
  </r>
  <r>
    <d v="2025-01-29T00:00:00"/>
    <s v="9989012452"/>
    <s v="THE YARD"/>
    <n v="1"/>
    <x v="26"/>
  </r>
  <r>
    <d v="2025-01-29T00:00:00"/>
    <s v="9989012452"/>
    <s v="THE YARD"/>
    <n v="1"/>
    <x v="27"/>
  </r>
  <r>
    <d v="2025-01-29T00:00:00"/>
    <s v="9989012452"/>
    <s v="THE YARD"/>
    <n v="1"/>
    <x v="5"/>
  </r>
  <r>
    <d v="2025-01-29T00:00:00"/>
    <s v="9989012452"/>
    <s v="THE YARD"/>
    <n v="1"/>
    <x v="17"/>
  </r>
  <r>
    <d v="2025-01-29T00:00:00"/>
    <s v="9989012452"/>
    <s v="THE YARD"/>
    <n v="1"/>
    <x v="7"/>
  </r>
  <r>
    <d v="2025-01-29T00:00:00"/>
    <s v="9989012453"/>
    <s v="BEST WESTERN EL RANCHO INN"/>
    <n v="1"/>
    <x v="25"/>
  </r>
  <r>
    <d v="2025-01-29T00:00:00"/>
    <s v="9989012453"/>
    <s v="BEST WESTERN EL RANCHO INN"/>
    <n v="1"/>
    <x v="21"/>
  </r>
  <r>
    <d v="2025-01-29T00:00:00"/>
    <s v="9989012453"/>
    <s v="BEST WESTERN EL RANCHO INN"/>
    <n v="1"/>
    <x v="14"/>
  </r>
  <r>
    <d v="2025-01-29T00:00:00"/>
    <s v="9989012454"/>
    <s v="STARBIRD CHICKEN - FOSTER CITY"/>
    <n v="3"/>
    <x v="8"/>
  </r>
  <r>
    <d v="2025-01-29T00:00:00"/>
    <s v="9989012454"/>
    <s v="STARBIRD CHICKEN - FOSTER CITY"/>
    <n v="3"/>
    <x v="15"/>
  </r>
  <r>
    <d v="2025-01-29T00:00:00"/>
    <s v="9989012454"/>
    <s v="STARBIRD CHICKEN - FOSTER CITY"/>
    <n v="1"/>
    <x v="12"/>
  </r>
  <r>
    <d v="2025-01-29T00:00:00"/>
    <s v="9989012454"/>
    <s v="STARBIRD CHICKEN - FOSTER CITY"/>
    <n v="2"/>
    <x v="10"/>
  </r>
  <r>
    <d v="2025-01-29T00:00:00"/>
    <s v="9989012454"/>
    <s v="STARBIRD CHICKEN - FOSTER CITY"/>
    <n v="2"/>
    <x v="5"/>
  </r>
  <r>
    <d v="2025-01-29T00:00:00"/>
    <s v="9989012454"/>
    <s v="STARBIRD CHICKEN - FOSTER CITY"/>
    <n v="3"/>
    <x v="17"/>
  </r>
  <r>
    <d v="2025-01-29T00:00:00"/>
    <s v="9989012454"/>
    <s v="STARBIRD CHICKEN - FOSTER CITY"/>
    <n v="2"/>
    <x v="23"/>
  </r>
  <r>
    <d v="2025-01-29T00:00:00"/>
    <s v="9989012454"/>
    <s v="STARBIRD CHICKEN - FOSTER CITY"/>
    <n v="3"/>
    <x v="11"/>
  </r>
  <r>
    <d v="2025-01-29T00:00:00"/>
    <s v="9989012454"/>
    <s v="STARBIRD CHICKEN - FOSTER CITY"/>
    <n v="3"/>
    <x v="1"/>
  </r>
  <r>
    <d v="2025-01-29T00:00:00"/>
    <s v="9989012454"/>
    <s v="STARBIRD CHICKEN - FOSTER CITY"/>
    <n v="3"/>
    <x v="4"/>
  </r>
  <r>
    <d v="2025-01-29T00:00:00"/>
    <s v="9989012454"/>
    <s v="STARBIRD CHICKEN - FOSTER CITY"/>
    <n v="1"/>
    <x v="3"/>
  </r>
  <r>
    <d v="2025-01-29T00:00:00"/>
    <s v="9989012455"/>
    <s v="LIVERMORE CASINO"/>
    <n v="1"/>
    <x v="13"/>
  </r>
  <r>
    <d v="2025-01-29T00:00:00"/>
    <s v="9989012455"/>
    <s v="LIVERMORE CASINO"/>
    <n v="1"/>
    <x v="24"/>
  </r>
  <r>
    <d v="2025-01-29T00:00:00"/>
    <s v="9989012455"/>
    <s v="LIVERMORE CASINO"/>
    <n v="1"/>
    <x v="19"/>
  </r>
  <r>
    <d v="2025-01-29T00:00:00"/>
    <s v="9989012455"/>
    <s v="LIVERMORE CASINO"/>
    <n v="1"/>
    <x v="21"/>
  </r>
  <r>
    <d v="2025-01-29T00:00:00"/>
    <s v="9989012456"/>
    <s v="AVIATION ROOFTOP BAR AND KITCHEN"/>
    <n v="1"/>
    <x v="8"/>
  </r>
  <r>
    <d v="2025-01-29T00:00:00"/>
    <s v="9989012456"/>
    <s v="AVIATION ROOFTOP BAR AND KITCHEN"/>
    <n v="1"/>
    <x v="12"/>
  </r>
  <r>
    <d v="2025-01-29T00:00:00"/>
    <s v="9989012456"/>
    <s v="AVIATION ROOFTOP BAR AND KITCHEN"/>
    <n v="1"/>
    <x v="10"/>
  </r>
  <r>
    <d v="2025-01-29T00:00:00"/>
    <s v="9989012457"/>
    <s v="MONICAS"/>
    <n v="3"/>
    <x v="7"/>
  </r>
  <r>
    <d v="2025-01-29T00:00:00"/>
    <s v="9989012457"/>
    <s v="MONICAS"/>
    <n v="1"/>
    <x v="5"/>
  </r>
  <r>
    <d v="2025-01-29T00:00:00"/>
    <s v="9989012457"/>
    <s v="MONICAS"/>
    <n v="1"/>
    <x v="12"/>
  </r>
  <r>
    <d v="2025-01-29T00:00:00"/>
    <s v="9989012457"/>
    <s v="MONICAS"/>
    <n v="2"/>
    <x v="15"/>
  </r>
  <r>
    <d v="2025-01-29T00:00:00"/>
    <s v="9989012457"/>
    <s v="MONICAS"/>
    <n v="3"/>
    <x v="8"/>
  </r>
  <r>
    <d v="2025-01-29T00:00:00"/>
    <s v="9989012457"/>
    <s v="MONICAS"/>
    <n v="1"/>
    <x v="6"/>
  </r>
  <r>
    <d v="2025-01-29T00:00:00"/>
    <s v="9989012458"/>
    <s v="THE MELT (STANFORD)"/>
    <n v="1"/>
    <x v="12"/>
  </r>
  <r>
    <d v="2025-01-29T00:00:00"/>
    <s v="9989012458"/>
    <s v="THE MELT (STANFORD)"/>
    <n v="2"/>
    <x v="9"/>
  </r>
  <r>
    <d v="2025-01-29T00:00:00"/>
    <s v="9989012458"/>
    <s v="THE MELT (STANFORD)"/>
    <n v="1"/>
    <x v="8"/>
  </r>
  <r>
    <d v="2025-01-29T00:00:00"/>
    <s v="9989012458"/>
    <s v="THE MELT (STANFORD)"/>
    <n v="1"/>
    <x v="15"/>
  </r>
  <r>
    <d v="2025-01-29T00:00:00"/>
    <s v="9989012458"/>
    <s v="THE MELT (STANFORD)"/>
    <n v="1"/>
    <x v="5"/>
  </r>
  <r>
    <d v="2025-01-29T00:00:00"/>
    <s v="9989012458"/>
    <s v="THE MELT (STANFORD)"/>
    <n v="1"/>
    <x v="10"/>
  </r>
  <r>
    <d v="2025-01-29T00:00:00"/>
    <s v="9989012459"/>
    <s v="CALI KID BURGERS AND SHAKES"/>
    <n v="1"/>
    <x v="8"/>
  </r>
  <r>
    <d v="2025-01-29T00:00:00"/>
    <s v="9989012459"/>
    <s v="CALI KID BURGERS AND SHAKES"/>
    <n v="1"/>
    <x v="15"/>
  </r>
  <r>
    <d v="2025-01-29T00:00:00"/>
    <s v="9989012459"/>
    <s v="CALI KID BURGERS AND SHAKES"/>
    <n v="1"/>
    <x v="9"/>
  </r>
  <r>
    <d v="2025-01-29T00:00:00"/>
    <s v="9989012459"/>
    <s v="CALI KID BURGERS AND SHAKES"/>
    <n v="2"/>
    <x v="6"/>
  </r>
  <r>
    <d v="2025-01-29T00:00:00"/>
    <s v="9989012459"/>
    <s v="CALI KID BURGERS AND SHAKES"/>
    <n v="1"/>
    <x v="10"/>
  </r>
  <r>
    <d v="2025-01-29T00:00:00"/>
    <s v="9989012459"/>
    <s v="CALI KID BURGERS AND SHAKES"/>
    <n v="1"/>
    <x v="17"/>
  </r>
  <r>
    <d v="2025-01-29T00:00:00"/>
    <s v="9989012459"/>
    <s v="CALI KID BURGERS AND SHAKES"/>
    <n v="1"/>
    <x v="5"/>
  </r>
  <r>
    <d v="2025-01-29T00:00:00"/>
    <s v="9989012459"/>
    <s v="CALI KID BURGERS AND SHAKES"/>
    <n v="1"/>
    <x v="12"/>
  </r>
  <r>
    <d v="2025-01-29T00:00:00"/>
    <s v="9989012460"/>
    <s v="PAUL &amp; EDDIES &amp; ASSOCIATES"/>
    <n v="1"/>
    <x v="15"/>
  </r>
  <r>
    <d v="2025-01-29T00:00:00"/>
    <s v="9989012460"/>
    <s v="PAUL &amp; EDDIES &amp; ASSOCIATES"/>
    <n v="1"/>
    <x v="12"/>
  </r>
  <r>
    <d v="2025-01-29T00:00:00"/>
    <s v="9989012461"/>
    <s v="BERTS STADIUM SPORTS BAR"/>
    <n v="1"/>
    <x v="14"/>
  </r>
  <r>
    <d v="2025-01-29T00:00:00"/>
    <s v="9989012461"/>
    <s v="BERTS STADIUM SPORTS BAR"/>
    <n v="1"/>
    <x v="19"/>
  </r>
  <r>
    <d v="2025-01-29T00:00:00"/>
    <s v="9989012462"/>
    <s v="STARBIRD CHICKEN - PLEASANTON"/>
    <n v="2"/>
    <x v="8"/>
  </r>
  <r>
    <d v="2025-01-29T00:00:00"/>
    <s v="9989012462"/>
    <s v="STARBIRD CHICKEN - PLEASANTON"/>
    <n v="1"/>
    <x v="12"/>
  </r>
  <r>
    <d v="2025-01-29T00:00:00"/>
    <s v="9989012462"/>
    <s v="STARBIRD CHICKEN - PLEASANTON"/>
    <n v="1"/>
    <x v="5"/>
  </r>
  <r>
    <d v="2025-01-29T00:00:00"/>
    <s v="9989012462"/>
    <s v="STARBIRD CHICKEN - PLEASANTON"/>
    <n v="1"/>
    <x v="10"/>
  </r>
  <r>
    <d v="2025-01-29T00:00:00"/>
    <s v="9989012462"/>
    <s v="STARBIRD CHICKEN - PLEASANTON"/>
    <n v="1"/>
    <x v="17"/>
  </r>
  <r>
    <d v="2025-01-29T00:00:00"/>
    <s v="9989012462"/>
    <s v="STARBIRD CHICKEN - PLEASANTON"/>
    <n v="1"/>
    <x v="1"/>
  </r>
  <r>
    <d v="2025-01-29T00:00:00"/>
    <s v="9989012462"/>
    <s v="STARBIRD CHICKEN - PLEASANTON"/>
    <n v="1"/>
    <x v="11"/>
  </r>
  <r>
    <d v="2025-01-29T00:00:00"/>
    <s v="9989012462"/>
    <s v="STARBIRD CHICKEN - PLEASANTON"/>
    <n v="1"/>
    <x v="4"/>
  </r>
  <r>
    <d v="2025-01-29T00:00:00"/>
    <s v="9989012462"/>
    <s v="STARBIRD CHICKEN - PLEASANTON"/>
    <n v="1"/>
    <x v="3"/>
  </r>
  <r>
    <d v="2025-01-29T00:00:00"/>
    <s v="9989012463"/>
    <s v="LUNA LOCA (JAINS FOODS)"/>
    <n v="1"/>
    <x v="15"/>
  </r>
  <r>
    <d v="2025-01-29T00:00:00"/>
    <s v="9989012463"/>
    <s v="LUNA LOCA (JAINS FOODS)"/>
    <n v="2"/>
    <x v="8"/>
  </r>
  <r>
    <d v="2025-01-29T00:00:00"/>
    <s v="9989012463"/>
    <s v="LUNA LOCA (JAINS FOODS)"/>
    <n v="1"/>
    <x v="7"/>
  </r>
  <r>
    <d v="2025-01-29T00:00:00"/>
    <s v="9989012464"/>
    <s v="THE MELT (DANVILLE)"/>
    <n v="1"/>
    <x v="16"/>
  </r>
  <r>
    <d v="2025-01-29T00:00:00"/>
    <s v="9989012464"/>
    <s v="THE MELT (DANVILLE)"/>
    <n v="1"/>
    <x v="8"/>
  </r>
  <r>
    <d v="2025-01-29T00:00:00"/>
    <s v="9989012464"/>
    <s v="THE MELT (DANVILLE)"/>
    <n v="1"/>
    <x v="12"/>
  </r>
  <r>
    <d v="2025-01-29T00:00:00"/>
    <s v="9989012465"/>
    <s v="CANYON CLUB BREWERY"/>
    <n v="1"/>
    <x v="12"/>
  </r>
  <r>
    <d v="2025-01-29T00:00:00"/>
    <s v="9989012465"/>
    <s v="CANYON CLUB BREWERY"/>
    <n v="1"/>
    <x v="7"/>
  </r>
  <r>
    <d v="2025-01-29T00:00:00"/>
    <s v="9989012465"/>
    <s v="CANYON CLUB BREWERY"/>
    <n v="1"/>
    <x v="15"/>
  </r>
  <r>
    <d v="2025-01-29T00:00:00"/>
    <s v="9989012466"/>
    <s v="REVE"/>
    <n v="2"/>
    <x v="1"/>
  </r>
  <r>
    <d v="2025-01-29T00:00:00"/>
    <s v="9989012466"/>
    <s v="REVE"/>
    <n v="2"/>
    <x v="11"/>
  </r>
  <r>
    <d v="2025-01-29T00:00:00"/>
    <s v="9989012466"/>
    <s v="REVE"/>
    <n v="2"/>
    <x v="3"/>
  </r>
  <r>
    <d v="2025-01-29T00:00:00"/>
    <s v="9989012466"/>
    <s v="REVE"/>
    <n v="2"/>
    <x v="4"/>
  </r>
  <r>
    <d v="2025-01-29T00:00:00"/>
    <s v="9989012467"/>
    <s v="JUPITER"/>
    <n v="1"/>
    <x v="5"/>
  </r>
  <r>
    <d v="2025-01-29T00:00:00"/>
    <s v="9989012467"/>
    <s v="JUPITER"/>
    <n v="1"/>
    <x v="13"/>
  </r>
  <r>
    <d v="2025-01-29T00:00:00"/>
    <s v="9989012467"/>
    <s v="JUPITER"/>
    <n v="1"/>
    <x v="26"/>
  </r>
  <r>
    <d v="2025-01-29T00:00:00"/>
    <s v="9989012467"/>
    <s v="JUPITER"/>
    <n v="1"/>
    <x v="27"/>
  </r>
  <r>
    <d v="2025-01-29T00:00:00"/>
    <s v="9989012468"/>
    <s v="HEADLANDS BREWING - WALNUT CREEK"/>
    <n v="2"/>
    <x v="15"/>
  </r>
  <r>
    <d v="2025-01-30T00:00:00"/>
    <s v="9989012470"/>
    <s v="THE MELT (455 MARKET)"/>
    <n v="2"/>
    <x v="5"/>
  </r>
  <r>
    <d v="2025-01-30T00:00:00"/>
    <s v="9989012472"/>
    <s v="SLICE HOUSE"/>
    <n v="2"/>
    <x v="7"/>
  </r>
  <r>
    <d v="2025-01-30T00:00:00"/>
    <s v="9989012472"/>
    <s v="SLICE HOUSE"/>
    <n v="1"/>
    <x v="29"/>
  </r>
  <r>
    <d v="2025-01-30T00:00:00"/>
    <s v="9989012473"/>
    <s v="EMMYS SPAGHETTI SHACK"/>
    <n v="1"/>
    <x v="27"/>
  </r>
  <r>
    <d v="2025-01-30T00:00:00"/>
    <s v="9989012473"/>
    <s v="EMMYS SPAGHETTI SHACK"/>
    <n v="1"/>
    <x v="13"/>
  </r>
  <r>
    <d v="2025-01-30T00:00:00"/>
    <s v="9989012473"/>
    <s v="EMMYS SPAGHETTI SHACK"/>
    <n v="1"/>
    <x v="24"/>
  </r>
  <r>
    <d v="2025-01-30T00:00:00"/>
    <s v="9989012474"/>
    <s v="RICK &amp; ROXY'S-DEL MAR"/>
    <n v="1"/>
    <x v="8"/>
  </r>
  <r>
    <d v="2025-01-30T00:00:00"/>
    <s v="9989012474"/>
    <s v="RICK &amp; ROXY'S-DEL MAR"/>
    <n v="1"/>
    <x v="12"/>
  </r>
  <r>
    <d v="2025-01-30T00:00:00"/>
    <s v="9989012474"/>
    <s v="RICK &amp; ROXY'S-DEL MAR"/>
    <n v="1"/>
    <x v="37"/>
  </r>
  <r>
    <d v="2025-01-30T00:00:00"/>
    <s v="9989012474"/>
    <s v="RICK &amp; ROXY'S-DEL MAR"/>
    <n v="1"/>
    <x v="19"/>
  </r>
  <r>
    <d v="2025-01-30T00:00:00"/>
    <s v="9989012474"/>
    <s v="RICK &amp; ROXY'S-DEL MAR"/>
    <n v="1"/>
    <x v="18"/>
  </r>
  <r>
    <d v="2025-01-30T00:00:00"/>
    <s v="9989012474"/>
    <s v="RICK &amp; ROXY'S-DEL MAR"/>
    <n v="1"/>
    <x v="14"/>
  </r>
  <r>
    <d v="2025-01-30T00:00:00"/>
    <s v="9989012475"/>
    <s v="THE MELT (SANTA CLARA 0045)"/>
    <n v="2"/>
    <x v="8"/>
  </r>
  <r>
    <d v="2025-01-30T00:00:00"/>
    <s v="9989012475"/>
    <s v="THE MELT (SANTA CLARA 0045)"/>
    <n v="1"/>
    <x v="12"/>
  </r>
  <r>
    <d v="2025-01-30T00:00:00"/>
    <s v="9989012475"/>
    <s v="THE MELT (SANTA CLARA 0045)"/>
    <n v="1"/>
    <x v="9"/>
  </r>
  <r>
    <d v="2025-01-30T00:00:00"/>
    <s v="9989012475"/>
    <s v="THE MELT (SANTA CLARA 0045)"/>
    <n v="2"/>
    <x v="5"/>
  </r>
  <r>
    <d v="2025-01-30T00:00:00"/>
    <s v="9989012475"/>
    <s v="THE MELT (SANTA CLARA 0045)"/>
    <n v="1"/>
    <x v="10"/>
  </r>
  <r>
    <d v="2025-01-30T00:00:00"/>
    <s v="9989012475"/>
    <s v="THE MELT (SANTA CLARA 0045)"/>
    <n v="2"/>
    <x v="16"/>
  </r>
  <r>
    <d v="2025-01-30T00:00:00"/>
    <s v="9989012476"/>
    <s v="MONROE"/>
    <n v="2"/>
    <x v="28"/>
  </r>
  <r>
    <d v="2025-01-30T00:00:00"/>
    <s v="9989012476"/>
    <s v="MONROE"/>
    <n v="1"/>
    <x v="8"/>
  </r>
  <r>
    <d v="2025-01-30T00:00:00"/>
    <s v="9989012476"/>
    <s v="MONROE"/>
    <n v="1"/>
    <x v="18"/>
  </r>
  <r>
    <d v="2025-01-30T00:00:00"/>
    <s v="9989012477"/>
    <s v="CLUB CARIBE"/>
    <n v="1"/>
    <x v="22"/>
  </r>
  <r>
    <d v="2025-01-30T00:00:00"/>
    <s v="9989012477"/>
    <s v="CLUB CARIBE"/>
    <n v="2"/>
    <x v="21"/>
  </r>
  <r>
    <d v="2025-01-30T00:00:00"/>
    <s v="9989012477"/>
    <s v="CLUB CARIBE"/>
    <n v="1"/>
    <x v="8"/>
  </r>
  <r>
    <d v="2025-01-30T00:00:00"/>
    <s v="9989012477"/>
    <s v="CLUB CARIBE"/>
    <n v="1"/>
    <x v="28"/>
  </r>
  <r>
    <d v="2025-01-30T00:00:00"/>
    <s v="9989012477"/>
    <s v="CLUB CARIBE"/>
    <n v="1"/>
    <x v="29"/>
  </r>
  <r>
    <d v="2025-01-30T00:00:00"/>
    <s v="9989012479"/>
    <s v="STARBIRD CHICKEN - CAMPBELL"/>
    <n v="2"/>
    <x v="8"/>
  </r>
  <r>
    <d v="2025-01-30T00:00:00"/>
    <s v="9989012479"/>
    <s v="STARBIRD CHICKEN - CAMPBELL"/>
    <n v="3"/>
    <x v="10"/>
  </r>
  <r>
    <d v="2025-01-30T00:00:00"/>
    <s v="9989012479"/>
    <s v="STARBIRD CHICKEN - CAMPBELL"/>
    <n v="2"/>
    <x v="11"/>
  </r>
  <r>
    <d v="2025-01-30T00:00:00"/>
    <s v="9989012479"/>
    <s v="STARBIRD CHICKEN - CAMPBELL"/>
    <n v="2"/>
    <x v="3"/>
  </r>
  <r>
    <d v="2025-01-30T00:00:00"/>
    <s v="9989012479"/>
    <s v="STARBIRD CHICKEN - CAMPBELL"/>
    <n v="4"/>
    <x v="1"/>
  </r>
  <r>
    <d v="2025-01-30T00:00:00"/>
    <s v="9989012480"/>
    <s v="STARBIRD CHICKEN - HERMOSA BEACH"/>
    <n v="1"/>
    <x v="8"/>
  </r>
  <r>
    <d v="2025-01-30T00:00:00"/>
    <s v="9989012480"/>
    <s v="STARBIRD CHICKEN - HERMOSA BEACH"/>
    <n v="1"/>
    <x v="12"/>
  </r>
  <r>
    <d v="2025-01-30T00:00:00"/>
    <s v="9989012480"/>
    <s v="STARBIRD CHICKEN - HERMOSA BEACH"/>
    <n v="1"/>
    <x v="17"/>
  </r>
  <r>
    <d v="2025-01-30T00:00:00"/>
    <s v="9989012480"/>
    <s v="STARBIRD CHICKEN - HERMOSA BEACH"/>
    <n v="1"/>
    <x v="5"/>
  </r>
  <r>
    <d v="2025-01-30T00:00:00"/>
    <s v="9989012480"/>
    <s v="STARBIRD CHICKEN - HERMOSA BEACH"/>
    <n v="1"/>
    <x v="23"/>
  </r>
  <r>
    <d v="2025-01-30T00:00:00"/>
    <s v="9989012480"/>
    <s v="STARBIRD CHICKEN - HERMOSA BEACH"/>
    <n v="1"/>
    <x v="11"/>
  </r>
  <r>
    <d v="2025-01-30T00:00:00"/>
    <s v="9989012481"/>
    <s v="ALAMEDA CINEMA GRILL"/>
    <n v="1"/>
    <x v="26"/>
  </r>
  <r>
    <d v="2025-01-30T00:00:00"/>
    <s v="9989012481"/>
    <s v="ALAMEDA CINEMA GRILL"/>
    <n v="1"/>
    <x v="13"/>
  </r>
  <r>
    <d v="2025-01-30T00:00:00"/>
    <s v="9989012481"/>
    <s v="ALAMEDA CINEMA GRILL"/>
    <n v="1"/>
    <x v="18"/>
  </r>
  <r>
    <d v="2025-01-30T00:00:00"/>
    <s v="9989012481"/>
    <s v="ALAMEDA CINEMA GRILL"/>
    <n v="1"/>
    <x v="10"/>
  </r>
  <r>
    <d v="2025-01-30T00:00:00"/>
    <s v="9989012482"/>
    <s v="STARBIRD CHICKEN - SAN JOSE"/>
    <n v="1"/>
    <x v="8"/>
  </r>
  <r>
    <d v="2025-01-30T00:00:00"/>
    <s v="9989012482"/>
    <s v="STARBIRD CHICKEN - SAN JOSE"/>
    <n v="1"/>
    <x v="15"/>
  </r>
  <r>
    <d v="2025-01-30T00:00:00"/>
    <s v="9989012482"/>
    <s v="STARBIRD CHICKEN - SAN JOSE"/>
    <n v="1"/>
    <x v="12"/>
  </r>
  <r>
    <d v="2025-01-30T00:00:00"/>
    <s v="9989012482"/>
    <s v="STARBIRD CHICKEN - SAN JOSE"/>
    <n v="1"/>
    <x v="23"/>
  </r>
  <r>
    <d v="2025-01-30T00:00:00"/>
    <s v="9989012482"/>
    <s v="STARBIRD CHICKEN - SAN JOSE"/>
    <n v="1"/>
    <x v="10"/>
  </r>
  <r>
    <d v="2025-01-30T00:00:00"/>
    <s v="9989012482"/>
    <s v="STARBIRD CHICKEN - SAN JOSE"/>
    <n v="1"/>
    <x v="11"/>
  </r>
  <r>
    <d v="2025-01-30T00:00:00"/>
    <s v="9989012482"/>
    <s v="STARBIRD CHICKEN - SAN JOSE"/>
    <n v="1"/>
    <x v="4"/>
  </r>
  <r>
    <d v="2025-01-30T00:00:00"/>
    <s v="9989012483"/>
    <s v="SPORTS PAGE"/>
    <n v="2"/>
    <x v="14"/>
  </r>
  <r>
    <d v="2025-01-30T00:00:00"/>
    <s v="9989012483"/>
    <s v="SPORTS PAGE"/>
    <n v="1"/>
    <x v="8"/>
  </r>
  <r>
    <d v="2025-01-30T00:00:00"/>
    <s v="9989012483"/>
    <s v="SPORTS PAGE"/>
    <n v="1"/>
    <x v="12"/>
  </r>
  <r>
    <d v="2025-01-30T00:00:00"/>
    <s v="9989012483"/>
    <s v="SPORTS PAGE"/>
    <n v="1"/>
    <x v="19"/>
  </r>
  <r>
    <d v="2025-01-30T00:00:00"/>
    <s v="9989012484"/>
    <s v="THE MELT (GAS LAMP SAN DIEGO)"/>
    <n v="2"/>
    <x v="16"/>
  </r>
  <r>
    <d v="2025-01-30T00:00:00"/>
    <s v="9989012484"/>
    <s v="THE MELT (GAS LAMP SAN DIEGO)"/>
    <n v="4"/>
    <x v="8"/>
  </r>
  <r>
    <d v="2025-01-30T00:00:00"/>
    <s v="9989012484"/>
    <s v="THE MELT (GAS LAMP SAN DIEGO)"/>
    <n v="2"/>
    <x v="15"/>
  </r>
  <r>
    <d v="2025-01-30T00:00:00"/>
    <s v="9989012484"/>
    <s v="THE MELT (GAS LAMP SAN DIEGO)"/>
    <n v="1"/>
    <x v="10"/>
  </r>
  <r>
    <d v="2025-01-30T00:00:00"/>
    <s v="9989012484"/>
    <s v="THE MELT (GAS LAMP SAN DIEGO)"/>
    <n v="2"/>
    <x v="12"/>
  </r>
  <r>
    <d v="2025-01-30T00:00:00"/>
    <s v="9989012484"/>
    <s v="THE MELT (GAS LAMP SAN DIEGO)"/>
    <n v="1"/>
    <x v="9"/>
  </r>
  <r>
    <d v="2025-01-30T00:00:00"/>
    <s v="9989012484"/>
    <s v="THE MELT (GAS LAMP SAN DIEGO)"/>
    <n v="2"/>
    <x v="5"/>
  </r>
  <r>
    <d v="2025-01-30T00:00:00"/>
    <s v="9989012485"/>
    <s v="THE MELT (DEL MAR)"/>
    <n v="2"/>
    <x v="16"/>
  </r>
  <r>
    <d v="2025-01-30T00:00:00"/>
    <s v="9989012485"/>
    <s v="THE MELT (DEL MAR)"/>
    <n v="1"/>
    <x v="8"/>
  </r>
  <r>
    <d v="2025-01-30T00:00:00"/>
    <s v="9989012485"/>
    <s v="THE MELT (DEL MAR)"/>
    <n v="1"/>
    <x v="15"/>
  </r>
  <r>
    <d v="2025-01-30T00:00:00"/>
    <s v="9989012485"/>
    <s v="THE MELT (DEL MAR)"/>
    <n v="2"/>
    <x v="12"/>
  </r>
  <r>
    <d v="2025-01-30T00:00:00"/>
    <s v="9989012485"/>
    <s v="THE MELT (DEL MAR)"/>
    <n v="1"/>
    <x v="5"/>
  </r>
  <r>
    <d v="2025-01-30T00:00:00"/>
    <s v="9989012486"/>
    <s v="THE MELT (LA JOLLA)"/>
    <n v="2"/>
    <x v="16"/>
  </r>
  <r>
    <d v="2025-01-30T00:00:00"/>
    <s v="9989012486"/>
    <s v="THE MELT (LA JOLLA)"/>
    <n v="1"/>
    <x v="8"/>
  </r>
  <r>
    <d v="2025-01-30T00:00:00"/>
    <s v="9989012486"/>
    <s v="THE MELT (LA JOLLA)"/>
    <n v="1"/>
    <x v="15"/>
  </r>
  <r>
    <d v="2025-01-30T00:00:00"/>
    <s v="9989012486"/>
    <s v="THE MELT (LA JOLLA)"/>
    <n v="1"/>
    <x v="10"/>
  </r>
  <r>
    <d v="2025-01-30T00:00:00"/>
    <s v="9989012486"/>
    <s v="THE MELT (LA JOLLA)"/>
    <n v="2"/>
    <x v="12"/>
  </r>
  <r>
    <d v="2025-01-30T00:00:00"/>
    <s v="9989012486"/>
    <s v="THE MELT (LA JOLLA)"/>
    <n v="1"/>
    <x v="9"/>
  </r>
  <r>
    <d v="2025-01-30T00:00:00"/>
    <s v="9989012486"/>
    <s v="THE MELT (LA JOLLA)"/>
    <n v="2"/>
    <x v="5"/>
  </r>
  <r>
    <d v="2025-01-30T00:00:00"/>
    <s v="9989012487"/>
    <s v="ITALIAN COLORS"/>
    <n v="2"/>
    <x v="12"/>
  </r>
  <r>
    <d v="2025-01-30T00:00:00"/>
    <s v="9989012487"/>
    <s v="ITALIAN COLORS"/>
    <n v="2"/>
    <x v="14"/>
  </r>
  <r>
    <d v="2025-01-30T00:00:00"/>
    <s v="9989012487"/>
    <s v="ITALIAN COLORS"/>
    <n v="2"/>
    <x v="10"/>
  </r>
  <r>
    <d v="2025-01-31T00:00:00"/>
    <s v="9989012488"/>
    <s v="DS GIANT BURGERS"/>
    <n v="2"/>
    <x v="8"/>
  </r>
  <r>
    <d v="2025-01-31T00:00:00"/>
    <s v="9989012488"/>
    <s v="DS GIANT BURGERS"/>
    <n v="1"/>
    <x v="5"/>
  </r>
  <r>
    <d v="2025-01-31T00:00:00"/>
    <s v="9989012489"/>
    <s v="STARBIRD CHICKEN - CORTE MADERA"/>
    <n v="2"/>
    <x v="8"/>
  </r>
  <r>
    <d v="2025-01-31T00:00:00"/>
    <s v="9989012489"/>
    <s v="STARBIRD CHICKEN - CORTE MADERA"/>
    <n v="2"/>
    <x v="15"/>
  </r>
  <r>
    <d v="2025-01-31T00:00:00"/>
    <s v="9989012489"/>
    <s v="STARBIRD CHICKEN - CORTE MADERA"/>
    <n v="1"/>
    <x v="17"/>
  </r>
  <r>
    <d v="2025-01-31T00:00:00"/>
    <s v="9989012489"/>
    <s v="STARBIRD CHICKEN - CORTE MADERA"/>
    <n v="1"/>
    <x v="23"/>
  </r>
  <r>
    <d v="2025-01-31T00:00:00"/>
    <s v="9989012489"/>
    <s v="STARBIRD CHICKEN - CORTE MADERA"/>
    <n v="1"/>
    <x v="1"/>
  </r>
  <r>
    <d v="2025-01-31T00:00:00"/>
    <s v="9989012489"/>
    <s v="STARBIRD CHICKEN - CORTE MADERA"/>
    <n v="1"/>
    <x v="4"/>
  </r>
  <r>
    <d v="2025-01-31T00:00:00"/>
    <s v="9989012490"/>
    <s v="BREWSTERS BEER GARDEN LLC"/>
    <n v="3"/>
    <x v="8"/>
  </r>
  <r>
    <d v="2025-01-31T00:00:00"/>
    <s v="9989012490"/>
    <s v="BREWSTERS BEER GARDEN LLC"/>
    <n v="3"/>
    <x v="12"/>
  </r>
  <r>
    <d v="2025-01-31T00:00:00"/>
    <s v="9989012490"/>
    <s v="BREWSTERS BEER GARDEN LLC"/>
    <n v="3"/>
    <x v="15"/>
  </r>
  <r>
    <d v="2025-01-31T00:00:00"/>
    <s v="9989012490"/>
    <s v="BREWSTERS BEER GARDEN LLC"/>
    <n v="2"/>
    <x v="16"/>
  </r>
  <r>
    <d v="2025-01-31T00:00:00"/>
    <s v="9989012491"/>
    <s v="THE MELT (SUNNYVALE #0043)"/>
    <n v="2"/>
    <x v="5"/>
  </r>
  <r>
    <d v="2025-01-31T00:00:00"/>
    <s v="9989012491"/>
    <s v="THE MELT (SUNNYVALE #0043)"/>
    <n v="2"/>
    <x v="8"/>
  </r>
  <r>
    <d v="2025-01-31T00:00:00"/>
    <s v="9989012491"/>
    <s v="THE MELT (SUNNYVALE #0043)"/>
    <n v="1"/>
    <x v="16"/>
  </r>
  <r>
    <d v="2025-01-31T00:00:00"/>
    <s v="9989012491"/>
    <s v="THE MELT (SUNNYVALE #0043)"/>
    <n v="1"/>
    <x v="15"/>
  </r>
  <r>
    <d v="2025-01-31T00:00:00"/>
    <s v="9989012491"/>
    <s v="THE MELT (SUNNYVALE #0043)"/>
    <n v="1"/>
    <x v="12"/>
  </r>
  <r>
    <d v="2025-01-31T00:00:00"/>
    <s v="9989012491"/>
    <s v="THE MELT (SUNNYVALE #0043)"/>
    <n v="1"/>
    <x v="9"/>
  </r>
  <r>
    <d v="2025-01-31T00:00:00"/>
    <s v="9989012492"/>
    <s v="HOMETOWN BOWL"/>
    <n v="1"/>
    <x v="14"/>
  </r>
  <r>
    <d v="2025-01-31T00:00:00"/>
    <s v="9989012492"/>
    <s v="HOMETOWN BOWL"/>
    <n v="1"/>
    <x v="8"/>
  </r>
  <r>
    <d v="2025-01-31T00:00:00"/>
    <s v="9989012492"/>
    <s v="HOMETOWN BOWL"/>
    <n v="1"/>
    <x v="15"/>
  </r>
  <r>
    <d v="2025-01-31T00:00:00"/>
    <s v="9989012492"/>
    <s v="HOMETOWN BOWL"/>
    <n v="1"/>
    <x v="12"/>
  </r>
  <r>
    <d v="2025-01-31T00:00:00"/>
    <s v="9989012492"/>
    <s v="HOMETOWN BOWL"/>
    <n v="1"/>
    <x v="18"/>
  </r>
  <r>
    <d v="2025-01-31T00:00:00"/>
    <s v="9989012492"/>
    <s v="HOMETOWN BOWL"/>
    <n v="1"/>
    <x v="9"/>
  </r>
  <r>
    <d v="2025-01-31T00:00:00"/>
    <s v="9989012492"/>
    <s v="HOMETOWN BOWL"/>
    <n v="1"/>
    <x v="10"/>
  </r>
  <r>
    <d v="2025-01-31T00:00:00"/>
    <s v="9989012494"/>
    <s v="LAS PALMAS"/>
    <n v="1"/>
    <x v="13"/>
  </r>
  <r>
    <d v="2025-01-31T00:00:00"/>
    <s v="9989012494"/>
    <s v="LAS PALMAS"/>
    <n v="1"/>
    <x v="26"/>
  </r>
  <r>
    <d v="2025-01-31T00:00:00"/>
    <s v="9989012494"/>
    <s v="LAS PALMAS"/>
    <n v="1"/>
    <x v="29"/>
  </r>
  <r>
    <d v="2025-01-31T00:00:00"/>
    <s v="9989012494"/>
    <s v="LAS PALMAS"/>
    <n v="1"/>
    <x v="5"/>
  </r>
  <r>
    <d v="2025-01-31T00:00:00"/>
    <s v="9989012495"/>
    <s v="ENCINAL MARKET"/>
    <n v="1"/>
    <x v="1"/>
  </r>
  <r>
    <d v="2025-01-31T00:00:00"/>
    <s v="9989012495"/>
    <s v="ENCINAL MARKET"/>
    <n v="1"/>
    <x v="11"/>
  </r>
  <r>
    <d v="2025-01-31T00:00:00"/>
    <s v="9989012495"/>
    <s v="ENCINAL MARKET"/>
    <n v="1"/>
    <x v="4"/>
  </r>
  <r>
    <d v="2025-01-31T00:00:00"/>
    <s v="9989012496"/>
    <s v="BLUE LAGOON"/>
    <n v="1"/>
    <x v="22"/>
  </r>
  <r>
    <d v="2025-01-31T00:00:00"/>
    <s v="9989012496"/>
    <s v="BLUE LAGOON"/>
    <n v="1"/>
    <x v="28"/>
  </r>
  <r>
    <d v="2025-01-31T00:00:00"/>
    <s v="9989012496"/>
    <s v="BLUE LAGOON"/>
    <n v="1"/>
    <x v="15"/>
  </r>
  <r>
    <d v="2025-01-31T00:00:00"/>
    <s v="9989012498"/>
    <s v="HOLE IN THE WALL"/>
    <n v="1"/>
    <x v="14"/>
  </r>
  <r>
    <d v="2025-01-31T00:00:00"/>
    <s v="9989012499"/>
    <s v="FOX THEATER"/>
    <n v="2"/>
    <x v="8"/>
  </r>
  <r>
    <d v="2025-01-31T00:00:00"/>
    <s v="9989012499"/>
    <s v="FOX THEATER"/>
    <n v="2"/>
    <x v="22"/>
  </r>
  <r>
    <d v="2025-01-31T00:00:00"/>
    <s v="9989012499"/>
    <s v="FOX THEATER"/>
    <n v="1"/>
    <x v="14"/>
  </r>
  <r>
    <d v="2025-01-31T00:00:00"/>
    <s v="9989012499"/>
    <s v="FOX THEATER"/>
    <n v="1"/>
    <x v="28"/>
  </r>
  <r>
    <d v="2025-01-31T00:00:00"/>
    <s v="9989012500"/>
    <s v="LAUREL LOUNGE"/>
    <n v="1"/>
    <x v="14"/>
  </r>
  <r>
    <d v="2025-01-31T00:00:00"/>
    <s v="9989012500"/>
    <s v="LAUREL LOUNGE"/>
    <n v="1"/>
    <x v="21"/>
  </r>
  <r>
    <d v="2025-01-31T00:00:00"/>
    <s v="9989012501"/>
    <s v="THE RUBY ROOM"/>
    <n v="1"/>
    <x v="15"/>
  </r>
  <r>
    <d v="2025-01-31T00:00:00"/>
    <s v="9989012501"/>
    <s v="THE RUBY ROOM"/>
    <n v="1"/>
    <x v="8"/>
  </r>
  <r>
    <d v="2025-01-31T00:00:00"/>
    <s v="9989012501"/>
    <s v="THE RUBY ROOM"/>
    <n v="1"/>
    <x v="19"/>
  </r>
  <r>
    <d v="2025-01-31T00:00:00"/>
    <s v="9989012501"/>
    <s v="THE RUBY ROOM"/>
    <n v="1"/>
    <x v="10"/>
  </r>
  <r>
    <d v="2025-01-31T00:00:00"/>
    <s v="9989012501"/>
    <s v="THE RUBY ROOM"/>
    <n v="1"/>
    <x v="14"/>
  </r>
  <r>
    <d v="2025-01-31T00:00:00"/>
    <s v="9989012502"/>
    <s v="STARBIRD CHICKEN-CUPERTINO"/>
    <n v="2"/>
    <x v="8"/>
  </r>
  <r>
    <d v="2025-01-31T00:00:00"/>
    <s v="9989012502"/>
    <s v="STARBIRD CHICKEN-CUPERTINO"/>
    <n v="3"/>
    <x v="10"/>
  </r>
  <r>
    <d v="2025-01-31T00:00:00"/>
    <s v="9989012502"/>
    <s v="STARBIRD CHICKEN-CUPERTINO"/>
    <n v="1"/>
    <x v="5"/>
  </r>
  <r>
    <d v="2025-01-31T00:00:00"/>
    <s v="9989012502"/>
    <s v="STARBIRD CHICKEN-CUPERTINO"/>
    <n v="1"/>
    <x v="15"/>
  </r>
  <r>
    <d v="2025-01-31T00:00:00"/>
    <s v="9989012502"/>
    <s v="STARBIRD CHICKEN-CUPERTINO"/>
    <n v="1"/>
    <x v="17"/>
  </r>
  <r>
    <d v="2025-01-31T00:00:00"/>
    <s v="9989012502"/>
    <s v="STARBIRD CHICKEN-CUPERTINO"/>
    <n v="2"/>
    <x v="11"/>
  </r>
  <r>
    <d v="2025-01-31T00:00:00"/>
    <s v="9989012502"/>
    <s v="STARBIRD CHICKEN-CUPERTINO"/>
    <n v="4"/>
    <x v="1"/>
  </r>
  <r>
    <d v="2025-01-31T00:00:00"/>
    <s v="9989012502"/>
    <s v="STARBIRD CHICKEN-CUPERTINO"/>
    <n v="2"/>
    <x v="3"/>
  </r>
  <r>
    <d v="2025-01-31T00:00:00"/>
    <s v="9989012503"/>
    <s v="GRAND LAKE THEATER"/>
    <n v="6"/>
    <x v="15"/>
  </r>
  <r>
    <d v="2025-01-31T00:00:00"/>
    <s v="9989012503"/>
    <s v="GRAND LAKE THEATER"/>
    <n v="6"/>
    <x v="5"/>
  </r>
  <r>
    <d v="2025-01-31T00:00:00"/>
    <s v="9989012503"/>
    <s v="GRAND LAKE THEATER"/>
    <n v="2"/>
    <x v="8"/>
  </r>
  <r>
    <d v="2025-01-31T00:00:00"/>
    <s v="9989012504"/>
    <s v="LAKESIDE LOUNGE"/>
    <n v="1"/>
    <x v="14"/>
  </r>
  <r>
    <d v="2025-01-31T00:00:00"/>
    <s v="9989013196A"/>
    <s v="Shopify - alameda-soda-co Customer"/>
    <n v="30"/>
    <x v="1"/>
  </r>
  <r>
    <d v="2025-01-31T00:00:00"/>
    <s v="9989013196A"/>
    <s v="Shopify - alameda-soda-co Customer"/>
    <n v="13"/>
    <x v="11"/>
  </r>
  <r>
    <d v="2025-01-31T00:00:00"/>
    <s v="9989013196A"/>
    <s v="Shopify - alameda-soda-co Customer"/>
    <n v="13"/>
    <x v="4"/>
  </r>
  <r>
    <d v="2025-01-31T00:00:00"/>
    <s v="9989013196A"/>
    <s v="Shopify - alameda-soda-co Customer"/>
    <n v="3"/>
    <x v="3"/>
  </r>
  <r>
    <d v="2025-01-31T00:00:00"/>
    <s v="9989013196A"/>
    <s v="Shopify - alameda-soda-co Customer"/>
    <n v="3"/>
    <x v="2"/>
  </r>
  <r>
    <d v="2025-01-31T00:00:00"/>
    <s v="9989013196A"/>
    <s v="Shopify - alameda-soda-co Customer"/>
    <n v="1"/>
    <x v="0"/>
  </r>
  <r>
    <d v="2025-01-31T00:00:00"/>
    <s v="9989013196A"/>
    <s v="Shopify - alameda-soda-co Customer"/>
    <n v="1"/>
    <x v="20"/>
  </r>
  <r>
    <d v="2025-02-03T00:00:00"/>
    <s v="9989012511"/>
    <s v="THEORY OAKLAND"/>
    <n v="1"/>
    <x v="18"/>
  </r>
  <r>
    <d v="2025-02-03T00:00:00"/>
    <s v="9989012511"/>
    <s v="THEORY OAKLAND"/>
    <n v="1"/>
    <x v="12"/>
  </r>
  <r>
    <d v="2025-02-04T00:00:00"/>
    <s v="9989012514"/>
    <s v="TRABOCCO"/>
    <n v="2"/>
    <x v="8"/>
  </r>
  <r>
    <d v="2025-02-04T00:00:00"/>
    <s v="9989012514"/>
    <s v="TRABOCCO"/>
    <n v="1"/>
    <x v="15"/>
  </r>
  <r>
    <d v="2025-02-04T00:00:00"/>
    <s v="9989012514"/>
    <s v="TRABOCCO"/>
    <n v="1"/>
    <x v="12"/>
  </r>
  <r>
    <d v="2025-02-04T00:00:00"/>
    <s v="9989012515"/>
    <s v="THE MELT (80 GRAND)"/>
    <n v="4"/>
    <x v="8"/>
  </r>
  <r>
    <d v="2025-02-04T00:00:00"/>
    <s v="9989012515"/>
    <s v="THE MELT (80 GRAND)"/>
    <n v="1"/>
    <x v="15"/>
  </r>
  <r>
    <d v="2025-02-04T00:00:00"/>
    <s v="9989012515"/>
    <s v="THE MELT (80 GRAND)"/>
    <n v="1"/>
    <x v="10"/>
  </r>
  <r>
    <d v="2025-02-04T00:00:00"/>
    <s v="9989012515"/>
    <s v="THE MELT (80 GRAND)"/>
    <n v="1"/>
    <x v="12"/>
  </r>
  <r>
    <d v="2025-02-04T00:00:00"/>
    <s v="9989012515"/>
    <s v="THE MELT (80 GRAND)"/>
    <n v="2"/>
    <x v="9"/>
  </r>
  <r>
    <d v="2025-02-04T00:00:00"/>
    <s v="9989012515"/>
    <s v="THE MELT (80 GRAND)"/>
    <n v="2"/>
    <x v="5"/>
  </r>
  <r>
    <d v="2025-02-04T00:00:00"/>
    <s v="9989012516"/>
    <s v="THE DEAD FISH"/>
    <n v="1"/>
    <x v="13"/>
  </r>
  <r>
    <d v="2025-02-04T00:00:00"/>
    <s v="9989012516"/>
    <s v="THE DEAD FISH"/>
    <n v="1"/>
    <x v="24"/>
  </r>
  <r>
    <d v="2025-02-04T00:00:00"/>
    <s v="9989012517"/>
    <s v="THE OLD SHIP SALOON"/>
    <n v="1"/>
    <x v="8"/>
  </r>
  <r>
    <d v="2025-02-04T00:00:00"/>
    <s v="9989012517"/>
    <s v="THE OLD SHIP SALOON"/>
    <n v="1"/>
    <x v="15"/>
  </r>
  <r>
    <d v="2025-02-04T00:00:00"/>
    <s v="9989012517"/>
    <s v="THE OLD SHIP SALOON"/>
    <n v="1"/>
    <x v="10"/>
  </r>
  <r>
    <d v="2025-02-04T00:00:00"/>
    <s v="9989012518"/>
    <s v="SCOMAS RESTAURANT"/>
    <n v="2"/>
    <x v="8"/>
  </r>
  <r>
    <d v="2025-02-04T00:00:00"/>
    <s v="9989012518"/>
    <s v="SCOMAS RESTAURANT"/>
    <n v="1"/>
    <x v="19"/>
  </r>
  <r>
    <d v="2025-02-04T00:00:00"/>
    <s v="9989012518"/>
    <s v="SCOMAS RESTAURANT"/>
    <n v="1"/>
    <x v="12"/>
  </r>
  <r>
    <d v="2025-02-04T00:00:00"/>
    <s v="9989012518"/>
    <s v="SCOMAS RESTAURANT"/>
    <n v="1"/>
    <x v="15"/>
  </r>
  <r>
    <d v="2025-02-04T00:00:00"/>
    <s v="9989012518"/>
    <s v="SCOMAS RESTAURANT"/>
    <n v="1"/>
    <x v="18"/>
  </r>
  <r>
    <d v="2025-02-04T00:00:00"/>
    <s v="9989012518"/>
    <s v="SCOMAS RESTAURANT"/>
    <n v="1"/>
    <x v="19"/>
  </r>
  <r>
    <d v="2025-02-04T00:00:00"/>
    <s v="9989012519"/>
    <s v="EDS PLACE"/>
    <n v="1"/>
    <x v="18"/>
  </r>
  <r>
    <d v="2025-02-04T00:00:00"/>
    <s v="9989012519"/>
    <s v="EDS PLACE"/>
    <n v="1"/>
    <x v="8"/>
  </r>
  <r>
    <d v="2025-02-04T00:00:00"/>
    <s v="9989012520"/>
    <s v="ELKS LODGE SF #3"/>
    <n v="1"/>
    <x v="8"/>
  </r>
  <r>
    <d v="2025-02-04T00:00:00"/>
    <s v="9989012520"/>
    <s v="ELKS LODGE SF #3"/>
    <n v="1"/>
    <x v="19"/>
  </r>
  <r>
    <d v="2025-02-04T00:00:00"/>
    <s v="9989012520"/>
    <s v="ELKS LODGE SF #3"/>
    <n v="1"/>
    <x v="5"/>
  </r>
  <r>
    <d v="2025-02-04T00:00:00"/>
    <s v="9989012521"/>
    <s v="STARBIRD - TASTES ON THE FLY SF"/>
    <n v="3"/>
    <x v="8"/>
  </r>
  <r>
    <d v="2025-02-04T00:00:00"/>
    <s v="9989012521"/>
    <s v="STARBIRD - TASTES ON THE FLY SF"/>
    <n v="1"/>
    <x v="15"/>
  </r>
  <r>
    <d v="2025-02-04T00:00:00"/>
    <s v="9989012521"/>
    <s v="STARBIRD - TASTES ON THE FLY SF"/>
    <n v="1"/>
    <x v="5"/>
  </r>
  <r>
    <d v="2025-02-04T00:00:00"/>
    <s v="9989012521"/>
    <s v="STARBIRD - TASTES ON THE FLY SF"/>
    <n v="1"/>
    <x v="12"/>
  </r>
  <r>
    <d v="2025-02-04T00:00:00"/>
    <s v="9989012523"/>
    <s v="BERKELEY TAP HAUS"/>
    <n v="1"/>
    <x v="18"/>
  </r>
  <r>
    <d v="2025-02-04T00:00:00"/>
    <s v="9989012523"/>
    <s v="BERKELEY TAP HAUS"/>
    <n v="1"/>
    <x v="19"/>
  </r>
  <r>
    <d v="2025-02-04T00:00:00"/>
    <s v="9989012524"/>
    <s v="PIZZERIA PAPPO"/>
    <n v="2"/>
    <x v="1"/>
  </r>
  <r>
    <d v="2025-02-04T00:00:00"/>
    <s v="9989012524"/>
    <s v="PIZZERIA PAPPO"/>
    <n v="2"/>
    <x v="11"/>
  </r>
  <r>
    <d v="2025-02-04T00:00:00"/>
    <s v="9989012524"/>
    <s v="PIZZERIA PAPPO"/>
    <n v="1"/>
    <x v="3"/>
  </r>
  <r>
    <d v="2025-02-04T00:00:00"/>
    <s v="9989012524"/>
    <s v="PIZZERIA PAPPO"/>
    <n v="2"/>
    <x v="4"/>
  </r>
  <r>
    <d v="2025-02-04T00:00:00"/>
    <s v="9989012524"/>
    <s v="PIZZERIA PAPPO"/>
    <n v="2"/>
    <x v="2"/>
  </r>
  <r>
    <d v="2025-02-04T00:00:00"/>
    <s v="9989012526"/>
    <s v="ARTHUR MAC'S LITTLE SNACK"/>
    <n v="2"/>
    <x v="8"/>
  </r>
  <r>
    <d v="2025-02-04T00:00:00"/>
    <s v="9989012526"/>
    <s v="ARTHUR MAC'S LITTLE SNACK"/>
    <n v="2"/>
    <x v="10"/>
  </r>
  <r>
    <d v="2025-02-04T00:00:00"/>
    <s v="9989012526"/>
    <s v="ARTHUR MAC'S LITTLE SNACK"/>
    <n v="1"/>
    <x v="12"/>
  </r>
  <r>
    <d v="2025-02-04T00:00:00"/>
    <s v="9989012526"/>
    <s v="ARTHUR MAC'S LITTLE SNACK"/>
    <n v="1"/>
    <x v="5"/>
  </r>
  <r>
    <d v="2025-02-04T00:00:00"/>
    <s v="9989012526"/>
    <s v="ARTHUR MAC'S LITTLE SNACK"/>
    <n v="1"/>
    <x v="7"/>
  </r>
  <r>
    <d v="2025-02-04T00:00:00"/>
    <s v="9989012526"/>
    <s v="ARTHUR MAC'S LITTLE SNACK"/>
    <n v="1"/>
    <x v="24"/>
  </r>
  <r>
    <d v="2025-02-04T00:00:00"/>
    <s v="9989012526"/>
    <s v="ARTHUR MAC'S LITTLE SNACK"/>
    <n v="1"/>
    <x v="15"/>
  </r>
  <r>
    <d v="2025-02-04T00:00:00"/>
    <s v="9989012527"/>
    <s v="STARBIRD CHICKEN - MARINA DEL REY"/>
    <n v="2"/>
    <x v="5"/>
  </r>
  <r>
    <d v="2025-02-04T00:00:00"/>
    <s v="9989012527"/>
    <s v="STARBIRD CHICKEN - MARINA DEL REY"/>
    <n v="2"/>
    <x v="12"/>
  </r>
  <r>
    <d v="2025-02-04T00:00:00"/>
    <s v="9989012527"/>
    <s v="STARBIRD CHICKEN - MARINA DEL REY"/>
    <n v="1"/>
    <x v="15"/>
  </r>
  <r>
    <d v="2025-02-04T00:00:00"/>
    <s v="9989012527"/>
    <s v="STARBIRD CHICKEN - MARINA DEL REY"/>
    <n v="1"/>
    <x v="23"/>
  </r>
  <r>
    <d v="2025-02-04T00:00:00"/>
    <s v="9989012527"/>
    <s v="STARBIRD CHICKEN - MARINA DEL REY"/>
    <n v="1"/>
    <x v="11"/>
  </r>
  <r>
    <d v="2025-02-04T00:00:00"/>
    <s v="9989012527"/>
    <s v="STARBIRD CHICKEN - MARINA DEL REY"/>
    <n v="1"/>
    <x v="1"/>
  </r>
  <r>
    <d v="2025-02-04T00:00:00"/>
    <s v="9989012527"/>
    <s v="STARBIRD CHICKEN - MARINA DEL REY"/>
    <n v="1"/>
    <x v="3"/>
  </r>
  <r>
    <d v="2025-02-04T00:00:00"/>
    <s v="9989012527"/>
    <s v="STARBIRD CHICKEN - MARINA DEL REY"/>
    <n v="1"/>
    <x v="4"/>
  </r>
  <r>
    <d v="2025-02-04T00:00:00"/>
    <s v="9989012528"/>
    <s v="THE MELT (7TH @ FIG)"/>
    <n v="2"/>
    <x v="16"/>
  </r>
  <r>
    <d v="2025-02-04T00:00:00"/>
    <s v="9989012528"/>
    <s v="THE MELT (7TH @ FIG)"/>
    <n v="2"/>
    <x v="8"/>
  </r>
  <r>
    <d v="2025-02-04T00:00:00"/>
    <s v="9989012528"/>
    <s v="THE MELT (7TH @ FIG)"/>
    <n v="1"/>
    <x v="15"/>
  </r>
  <r>
    <d v="2025-02-04T00:00:00"/>
    <s v="9989012528"/>
    <s v="THE MELT (7TH @ FIG)"/>
    <n v="1"/>
    <x v="10"/>
  </r>
  <r>
    <d v="2025-02-04T00:00:00"/>
    <s v="9989012528"/>
    <s v="THE MELT (7TH @ FIG)"/>
    <n v="2"/>
    <x v="12"/>
  </r>
  <r>
    <d v="2025-02-04T00:00:00"/>
    <s v="9989012528"/>
    <s v="THE MELT (7TH @ FIG)"/>
    <n v="2"/>
    <x v="9"/>
  </r>
  <r>
    <d v="2025-02-04T00:00:00"/>
    <s v="9989012530"/>
    <s v="LAKESIDE LOUNGE"/>
    <n v="1"/>
    <x v="14"/>
  </r>
  <r>
    <d v="2025-02-04T00:00:00"/>
    <s v="9989012530"/>
    <s v="LAKESIDE LOUNGE"/>
    <n v="1"/>
    <x v="21"/>
  </r>
  <r>
    <d v="2025-02-04T00:00:00"/>
    <s v="9989012530"/>
    <s v="LAKESIDE LOUNGE"/>
    <n v="1"/>
    <x v="28"/>
  </r>
  <r>
    <d v="2025-02-04T00:00:00"/>
    <s v="9989012530"/>
    <s v="LAKESIDE LOUNGE"/>
    <n v="1"/>
    <x v="18"/>
  </r>
  <r>
    <d v="2025-02-04T00:00:00"/>
    <s v="9989012530"/>
    <s v="LAKESIDE LOUNGE"/>
    <n v="1"/>
    <x v="8"/>
  </r>
  <r>
    <d v="2025-02-04T00:00:00"/>
    <s v="9989012530"/>
    <s v="LAKESIDE LOUNGE"/>
    <n v="1"/>
    <x v="12"/>
  </r>
  <r>
    <d v="2025-02-04T00:00:00"/>
    <s v="9989012531"/>
    <s v="SWELL BAR"/>
    <n v="1"/>
    <x v="13"/>
  </r>
  <r>
    <d v="2025-02-04T00:00:00"/>
    <s v="9989012531"/>
    <s v="SWELL BAR"/>
    <n v="1"/>
    <x v="12"/>
  </r>
  <r>
    <d v="2025-02-04T00:00:00"/>
    <s v="9989012531"/>
    <s v="SWELL BAR"/>
    <n v="1"/>
    <x v="10"/>
  </r>
  <r>
    <d v="2025-02-04T00:00:00"/>
    <s v="9989012531"/>
    <s v="SWELL BAR"/>
    <n v="1"/>
    <x v="14"/>
  </r>
  <r>
    <d v="2025-02-04T00:00:00"/>
    <s v="9989012522"/>
    <s v="TOP DOG #1 DUR"/>
    <n v="1"/>
    <x v="13"/>
  </r>
  <r>
    <d v="2025-02-04T00:00:00"/>
    <s v="9989012522"/>
    <s v="TOP DOG #1 DUR"/>
    <n v="1"/>
    <x v="26"/>
  </r>
  <r>
    <d v="2025-02-04T00:00:00"/>
    <s v="9989012522"/>
    <s v="TOP DOG #1 DUR"/>
    <n v="1"/>
    <x v="27"/>
  </r>
  <r>
    <d v="2025-02-04T00:00:00"/>
    <s v="9989012522"/>
    <s v="TOP DOG #1 DUR"/>
    <n v="2"/>
    <x v="5"/>
  </r>
  <r>
    <d v="2025-02-04T00:00:00"/>
    <s v="9989012522"/>
    <s v="TOP DOG #1 DUR"/>
    <n v="1"/>
    <x v="9"/>
  </r>
  <r>
    <d v="2025-02-05T00:00:00"/>
    <s v="9989012536"/>
    <s v="BEST WESTERN EL RANCHO INN"/>
    <n v="3"/>
    <x v="25"/>
  </r>
  <r>
    <d v="2025-02-05T00:00:00"/>
    <s v="9989012537"/>
    <s v="CAMINO'S"/>
    <n v="2"/>
    <x v="27"/>
  </r>
  <r>
    <d v="2025-02-05T00:00:00"/>
    <s v="9989012537"/>
    <s v="CAMINO'S"/>
    <n v="1"/>
    <x v="13"/>
  </r>
  <r>
    <d v="2025-02-05T00:00:00"/>
    <s v="9989012538"/>
    <s v="CAMERONS RESTAURANT &amp; PUB"/>
    <n v="3"/>
    <x v="8"/>
  </r>
  <r>
    <d v="2025-02-05T00:00:00"/>
    <s v="9989012538"/>
    <s v="CAMERONS RESTAURANT &amp; PUB"/>
    <n v="1"/>
    <x v="15"/>
  </r>
  <r>
    <d v="2025-02-05T00:00:00"/>
    <s v="9989012538"/>
    <s v="CAMERONS RESTAURANT &amp; PUB"/>
    <n v="1"/>
    <x v="6"/>
  </r>
  <r>
    <d v="2025-02-05T00:00:00"/>
    <s v="9989012538"/>
    <s v="CAMERONS RESTAURANT &amp; PUB"/>
    <n v="1"/>
    <x v="24"/>
  </r>
  <r>
    <d v="2025-02-05T00:00:00"/>
    <s v="9989012538"/>
    <s v="CAMERONS RESTAURANT &amp; PUB"/>
    <n v="2"/>
    <x v="12"/>
  </r>
  <r>
    <d v="2025-02-05T00:00:00"/>
    <s v="9989012538"/>
    <s v="CAMERONS RESTAURANT &amp; PUB"/>
    <n v="1"/>
    <x v="7"/>
  </r>
  <r>
    <d v="2025-02-05T00:00:00"/>
    <s v="9989012539"/>
    <s v="STARBIRD CHICKEN - WALNUT CREEK"/>
    <n v="3"/>
    <x v="8"/>
  </r>
  <r>
    <d v="2025-02-05T00:00:00"/>
    <s v="9989012539"/>
    <s v="STARBIRD CHICKEN - WALNUT CREEK"/>
    <n v="2"/>
    <x v="15"/>
  </r>
  <r>
    <d v="2025-02-05T00:00:00"/>
    <s v="9989012539"/>
    <s v="STARBIRD CHICKEN - WALNUT CREEK"/>
    <n v="1"/>
    <x v="12"/>
  </r>
  <r>
    <d v="2025-02-05T00:00:00"/>
    <s v="9989012539"/>
    <s v="STARBIRD CHICKEN - WALNUT CREEK"/>
    <n v="2"/>
    <x v="10"/>
  </r>
  <r>
    <d v="2025-02-05T00:00:00"/>
    <s v="9989012539"/>
    <s v="STARBIRD CHICKEN - WALNUT CREEK"/>
    <n v="2"/>
    <x v="17"/>
  </r>
  <r>
    <d v="2025-02-05T00:00:00"/>
    <s v="9989012539"/>
    <s v="STARBIRD CHICKEN - WALNUT CREEK"/>
    <n v="2"/>
    <x v="5"/>
  </r>
  <r>
    <d v="2025-02-05T00:00:00"/>
    <s v="9989012539"/>
    <s v="STARBIRD CHICKEN - WALNUT CREEK"/>
    <n v="1"/>
    <x v="23"/>
  </r>
  <r>
    <d v="2025-02-05T00:00:00"/>
    <s v="9989012539"/>
    <s v="STARBIRD CHICKEN - WALNUT CREEK"/>
    <n v="1"/>
    <x v="4"/>
  </r>
  <r>
    <d v="2025-02-05T00:00:00"/>
    <s v="9989012539"/>
    <s v="STARBIRD CHICKEN - WALNUT CREEK"/>
    <n v="1"/>
    <x v="1"/>
  </r>
  <r>
    <d v="2025-02-05T00:00:00"/>
    <s v="9989012540"/>
    <s v="STATE OF MIND PUBLIC HOUSE REDWOOD CITY"/>
    <n v="1"/>
    <x v="7"/>
  </r>
  <r>
    <d v="2025-02-05T00:00:00"/>
    <s v="9989012540"/>
    <s v="STATE OF MIND PUBLIC HOUSE REDWOOD CITY"/>
    <n v="1"/>
    <x v="8"/>
  </r>
  <r>
    <d v="2025-02-05T00:00:00"/>
    <s v="9989012540"/>
    <s v="STATE OF MIND PUBLIC HOUSE REDWOOD CITY"/>
    <n v="1"/>
    <x v="15"/>
  </r>
  <r>
    <d v="2025-02-05T00:00:00"/>
    <s v="9989012541"/>
    <s v="HEADLANDS BREWING - WALNUT CREEK"/>
    <n v="1"/>
    <x v="5"/>
  </r>
  <r>
    <d v="2025-02-05T00:00:00"/>
    <s v="9989012541"/>
    <s v="HEADLANDS BREWING - WALNUT CREEK"/>
    <n v="1"/>
    <x v="12"/>
  </r>
  <r>
    <d v="2025-02-05T00:00:00"/>
    <s v="9989012541"/>
    <s v="HEADLANDS BREWING - WALNUT CREEK"/>
    <n v="1"/>
    <x v="8"/>
  </r>
  <r>
    <d v="2025-02-05T00:00:00"/>
    <s v="9989012542"/>
    <s v="THE MELT (STANFORD)"/>
    <n v="2"/>
    <x v="8"/>
  </r>
  <r>
    <d v="2025-02-05T00:00:00"/>
    <s v="9989012542"/>
    <s v="THE MELT (STANFORD)"/>
    <n v="2"/>
    <x v="5"/>
  </r>
  <r>
    <d v="2025-02-05T00:00:00"/>
    <s v="9989012542"/>
    <s v="THE MELT (STANFORD)"/>
    <n v="1"/>
    <x v="10"/>
  </r>
  <r>
    <d v="2025-02-05T00:00:00"/>
    <s v="9989012542"/>
    <s v="THE MELT (STANFORD)"/>
    <n v="1"/>
    <x v="10"/>
  </r>
  <r>
    <d v="2025-02-05T00:00:00"/>
    <s v="9989012543"/>
    <s v="THE YARD"/>
    <n v="1"/>
    <x v="13"/>
  </r>
  <r>
    <d v="2025-02-05T00:00:00"/>
    <s v="9989012543"/>
    <s v="THE YARD"/>
    <n v="2"/>
    <x v="5"/>
  </r>
  <r>
    <d v="2025-02-05T00:00:00"/>
    <s v="9989012544"/>
    <s v="STATE OF MIND SLICE HOUSE  (PALO ALTO)"/>
    <n v="1"/>
    <x v="8"/>
  </r>
  <r>
    <d v="2025-02-05T00:00:00"/>
    <s v="9989012544"/>
    <s v="STATE OF MIND SLICE HOUSE  (PALO ALTO)"/>
    <n v="1"/>
    <x v="15"/>
  </r>
  <r>
    <d v="2025-02-05T00:00:00"/>
    <s v="9989012544"/>
    <s v="STATE OF MIND SLICE HOUSE  (PALO ALTO)"/>
    <n v="1"/>
    <x v="12"/>
  </r>
  <r>
    <d v="2025-02-05T00:00:00"/>
    <s v="9989012544"/>
    <s v="STATE OF MIND SLICE HOUSE  (PALO ALTO)"/>
    <n v="1"/>
    <x v="19"/>
  </r>
  <r>
    <d v="2025-02-05T00:00:00"/>
    <s v="9989012544"/>
    <s v="STATE OF MIND SLICE HOUSE  (PALO ALTO)"/>
    <n v="1"/>
    <x v="17"/>
  </r>
  <r>
    <d v="2025-02-05T00:00:00"/>
    <s v="9989012545"/>
    <s v="DELTA CINEMAS"/>
    <n v="1"/>
    <x v="13"/>
  </r>
  <r>
    <d v="2025-02-05T00:00:00"/>
    <s v="9989012545"/>
    <s v="DELTA CINEMAS"/>
    <n v="2"/>
    <x v="6"/>
  </r>
  <r>
    <d v="2025-02-05T00:00:00"/>
    <s v="9989012545"/>
    <s v="DELTA CINEMAS"/>
    <n v="1"/>
    <x v="10"/>
  </r>
  <r>
    <d v="2025-02-05T00:00:00"/>
    <s v="9989012546"/>
    <s v="MONTE CARLO"/>
    <n v="1"/>
    <x v="28"/>
  </r>
  <r>
    <d v="2025-02-05T00:00:00"/>
    <s v="9989012546"/>
    <s v="MONTE CARLO"/>
    <n v="2"/>
    <x v="14"/>
  </r>
  <r>
    <d v="2025-02-05T00:00:00"/>
    <s v="9989012546"/>
    <s v="MONTE CARLO"/>
    <n v="2"/>
    <x v="37"/>
  </r>
  <r>
    <d v="2025-02-05T00:00:00"/>
    <s v="9989012546"/>
    <s v="MONTE CARLO"/>
    <n v="2"/>
    <x v="29"/>
  </r>
  <r>
    <d v="2025-02-05T00:00:00"/>
    <s v="9989012547"/>
    <s v="STARBIRD CHICKEN - FAIRFAX"/>
    <n v="2"/>
    <x v="8"/>
  </r>
  <r>
    <d v="2025-02-05T00:00:00"/>
    <s v="9989012547"/>
    <s v="STARBIRD CHICKEN - FAIRFAX"/>
    <n v="2"/>
    <x v="12"/>
  </r>
  <r>
    <d v="2025-02-05T00:00:00"/>
    <s v="9989012547"/>
    <s v="STARBIRD CHICKEN - FAIRFAX"/>
    <n v="1"/>
    <x v="10"/>
  </r>
  <r>
    <d v="2025-02-05T00:00:00"/>
    <s v="9989012547"/>
    <s v="STARBIRD CHICKEN - FAIRFAX"/>
    <n v="1"/>
    <x v="5"/>
  </r>
  <r>
    <d v="2025-02-05T00:00:00"/>
    <s v="9989012547"/>
    <s v="STARBIRD CHICKEN - FAIRFAX"/>
    <n v="2"/>
    <x v="17"/>
  </r>
  <r>
    <d v="2025-02-05T00:00:00"/>
    <s v="9989012547"/>
    <s v="STARBIRD CHICKEN - FAIRFAX"/>
    <n v="2"/>
    <x v="23"/>
  </r>
  <r>
    <d v="2025-02-05T00:00:00"/>
    <s v="9989012547"/>
    <s v="STARBIRD CHICKEN - FAIRFAX"/>
    <n v="1"/>
    <x v="1"/>
  </r>
  <r>
    <d v="2025-02-05T00:00:00"/>
    <s v="9989012547"/>
    <s v="STARBIRD CHICKEN - FAIRFAX"/>
    <n v="2"/>
    <x v="11"/>
  </r>
  <r>
    <d v="2025-02-05T00:00:00"/>
    <s v="9989012547"/>
    <s v="STARBIRD CHICKEN - FAIRFAX"/>
    <n v="1"/>
    <x v="4"/>
  </r>
  <r>
    <d v="2025-02-05T00:00:00"/>
    <s v="9989012548"/>
    <s v="STARBIRD CHICKEN - SUNNYVALE"/>
    <n v="2"/>
    <x v="8"/>
  </r>
  <r>
    <d v="2025-02-05T00:00:00"/>
    <s v="9989012548"/>
    <s v="STARBIRD CHICKEN - SUNNYVALE"/>
    <n v="1"/>
    <x v="15"/>
  </r>
  <r>
    <d v="2025-02-05T00:00:00"/>
    <s v="9989012548"/>
    <s v="STARBIRD CHICKEN - SUNNYVALE"/>
    <n v="1"/>
    <x v="5"/>
  </r>
  <r>
    <d v="2025-02-05T00:00:00"/>
    <s v="9989012548"/>
    <s v="STARBIRD CHICKEN - SUNNYVALE"/>
    <n v="1"/>
    <x v="17"/>
  </r>
  <r>
    <d v="2025-02-05T00:00:00"/>
    <s v="9989012548"/>
    <s v="STARBIRD CHICKEN - SUNNYVALE"/>
    <n v="1"/>
    <x v="10"/>
  </r>
  <r>
    <d v="2025-02-05T00:00:00"/>
    <s v="9989012548"/>
    <s v="STARBIRD CHICKEN - SUNNYVALE"/>
    <n v="4"/>
    <x v="11"/>
  </r>
  <r>
    <d v="2025-02-05T00:00:00"/>
    <s v="9989012548"/>
    <s v="STARBIRD CHICKEN - SUNNYVALE"/>
    <n v="2"/>
    <x v="1"/>
  </r>
  <r>
    <d v="2025-02-05T00:00:00"/>
    <s v="9989012548"/>
    <s v="STARBIRD CHICKEN - SUNNYVALE"/>
    <n v="3"/>
    <x v="3"/>
  </r>
  <r>
    <d v="2025-02-05T00:00:00"/>
    <s v="9989012548"/>
    <s v="STARBIRD CHICKEN - SUNNYVALE"/>
    <n v="1"/>
    <x v="15"/>
  </r>
  <r>
    <d v="2025-02-05T00:00:00"/>
    <s v="9989012549"/>
    <s v="CALI KID BURGERS AND SHAKES"/>
    <n v="1"/>
    <x v="8"/>
  </r>
  <r>
    <d v="2025-02-05T00:00:00"/>
    <s v="9989012549"/>
    <s v="CALI KID BURGERS AND SHAKES"/>
    <n v="1"/>
    <x v="5"/>
  </r>
  <r>
    <d v="2025-02-05T00:00:00"/>
    <s v="9989012549"/>
    <s v="CALI KID BURGERS AND SHAKES"/>
    <n v="1"/>
    <x v="9"/>
  </r>
  <r>
    <d v="2025-02-05T00:00:00"/>
    <s v="9989012549"/>
    <s v="CALI KID BURGERS AND SHAKES"/>
    <n v="1"/>
    <x v="10"/>
  </r>
  <r>
    <d v="2025-02-05T00:00:00"/>
    <s v="9989012549"/>
    <s v="CALI KID BURGERS AND SHAKES"/>
    <n v="1"/>
    <x v="17"/>
  </r>
  <r>
    <d v="2025-02-05T00:00:00"/>
    <s v="9989012550"/>
    <s v="THE MELT (SUNNYVALE #0043)"/>
    <n v="2"/>
    <x v="16"/>
  </r>
  <r>
    <d v="2025-02-05T00:00:00"/>
    <s v="9989012550"/>
    <s v="THE MELT (SUNNYVALE #0043)"/>
    <n v="2"/>
    <x v="8"/>
  </r>
  <r>
    <d v="2025-02-05T00:00:00"/>
    <s v="9989012550"/>
    <s v="THE MELT (SUNNYVALE #0043)"/>
    <n v="2"/>
    <x v="9"/>
  </r>
  <r>
    <d v="2025-02-05T00:00:00"/>
    <s v="9989012550"/>
    <s v="THE MELT (SUNNYVALE #0043)"/>
    <n v="2"/>
    <x v="5"/>
  </r>
  <r>
    <d v="2025-02-05T00:00:00"/>
    <s v="9989012550"/>
    <s v="THE MELT (SUNNYVALE #0043)"/>
    <n v="1"/>
    <x v="15"/>
  </r>
  <r>
    <d v="2025-02-05T00:00:00"/>
    <s v="9989012550"/>
    <s v="THE MELT (SUNNYVALE #0043)"/>
    <n v="1"/>
    <x v="12"/>
  </r>
  <r>
    <d v="2025-02-05T00:00:00"/>
    <s v="9989012550"/>
    <s v="THE MELT (SUNNYVALE #0043)"/>
    <n v="3"/>
    <x v="10"/>
  </r>
  <r>
    <d v="2025-02-05T00:00:00"/>
    <s v="9989012551"/>
    <s v="EVOLUTION"/>
    <n v="1"/>
    <x v="22"/>
  </r>
  <r>
    <d v="2025-02-05T00:00:00"/>
    <s v="9989012551"/>
    <s v="EVOLUTION"/>
    <n v="2"/>
    <x v="28"/>
  </r>
  <r>
    <d v="2025-02-05T00:00:00"/>
    <s v="9989012552"/>
    <s v="AL'S FOOD MARKET"/>
    <n v="1"/>
    <x v="1"/>
  </r>
  <r>
    <d v="2025-02-05T00:00:00"/>
    <s v="9989012552"/>
    <s v="AL'S FOOD MARKET"/>
    <n v="1"/>
    <x v="3"/>
  </r>
  <r>
    <d v="2025-02-05T00:00:00"/>
    <s v="9989012552"/>
    <s v="AL'S FOOD MARKET"/>
    <n v="1"/>
    <x v="4"/>
  </r>
  <r>
    <d v="2025-02-05T00:00:00"/>
    <s v="9989012552"/>
    <s v="AL'S FOOD MARKET"/>
    <n v="1"/>
    <x v="2"/>
  </r>
  <r>
    <d v="2025-02-05T00:00:00"/>
    <s v="9989012552"/>
    <s v="AL'S FOOD MARKET"/>
    <n v="1"/>
    <x v="0"/>
  </r>
  <r>
    <d v="2025-02-05T00:00:00"/>
    <s v="9989012554"/>
    <s v="MOLLY O'S"/>
    <n v="1"/>
    <x v="8"/>
  </r>
  <r>
    <d v="2025-02-05T00:00:00"/>
    <s v="9989012554"/>
    <s v="MOLLY O'S"/>
    <n v="1"/>
    <x v="24"/>
  </r>
  <r>
    <d v="2025-02-05T00:00:00"/>
    <s v="9989012554"/>
    <s v="MOLLY O'S"/>
    <n v="1"/>
    <x v="19"/>
  </r>
  <r>
    <d v="2025-02-05T00:00:00"/>
    <s v="9989012557"/>
    <s v="STARBIRD CHICKEN - PLEASANTON"/>
    <n v="2"/>
    <x v="15"/>
  </r>
  <r>
    <d v="2025-02-05T00:00:00"/>
    <s v="9989012557"/>
    <s v="STARBIRD CHICKEN - PLEASANTON"/>
    <n v="1"/>
    <x v="8"/>
  </r>
  <r>
    <d v="2025-02-05T00:00:00"/>
    <s v="9989012557"/>
    <s v="STARBIRD CHICKEN - PLEASANTON"/>
    <n v="1"/>
    <x v="12"/>
  </r>
  <r>
    <d v="2025-02-05T00:00:00"/>
    <s v="9989012557"/>
    <s v="STARBIRD CHICKEN - PLEASANTON"/>
    <n v="1"/>
    <x v="5"/>
  </r>
  <r>
    <d v="2025-02-05T00:00:00"/>
    <s v="9989012557"/>
    <s v="STARBIRD CHICKEN - PLEASANTON"/>
    <n v="1"/>
    <x v="17"/>
  </r>
  <r>
    <d v="2025-02-05T00:00:00"/>
    <s v="9989012557"/>
    <s v="STARBIRD CHICKEN - PLEASANTON"/>
    <n v="1"/>
    <x v="23"/>
  </r>
  <r>
    <d v="2025-02-05T00:00:00"/>
    <s v="9989012557"/>
    <s v="STARBIRD CHICKEN - PLEASANTON"/>
    <n v="1"/>
    <x v="1"/>
  </r>
  <r>
    <d v="2025-02-05T00:00:00"/>
    <s v="9989012558"/>
    <s v="LUNA LOCA (JAINS FOODS)"/>
    <n v="1"/>
    <x v="12"/>
  </r>
  <r>
    <d v="2025-02-05T00:00:00"/>
    <s v="9989012558"/>
    <s v="LUNA LOCA (JAINS FOODS)"/>
    <n v="1"/>
    <x v="15"/>
  </r>
  <r>
    <d v="2025-02-05T00:00:00"/>
    <s v="9989012558"/>
    <s v="LUNA LOCA (JAINS FOODS)"/>
    <n v="1"/>
    <x v="14"/>
  </r>
  <r>
    <d v="2025-02-05T00:00:00"/>
    <s v="9989012559"/>
    <s v="DANVILLE BREWERY"/>
    <n v="1"/>
    <x v="13"/>
  </r>
  <r>
    <d v="2025-02-05T00:00:00"/>
    <s v="9989012559"/>
    <s v="DANVILLE BREWERY"/>
    <n v="1"/>
    <x v="26"/>
  </r>
  <r>
    <d v="2025-02-05T00:00:00"/>
    <s v="9989012559"/>
    <s v="DANVILLE BREWERY"/>
    <n v="1"/>
    <x v="6"/>
  </r>
  <r>
    <d v="2025-02-05T00:00:00"/>
    <s v="9989012559"/>
    <s v="DANVILLE BREWERY"/>
    <n v="1"/>
    <x v="5"/>
  </r>
  <r>
    <d v="2025-02-05T00:00:00"/>
    <s v="9989012560"/>
    <s v="THE MELT (DANVILLE)"/>
    <n v="1"/>
    <x v="8"/>
  </r>
  <r>
    <d v="2025-02-05T00:00:00"/>
    <s v="9989012560"/>
    <s v="THE MELT (DANVILLE)"/>
    <n v="1"/>
    <x v="15"/>
  </r>
  <r>
    <d v="2025-02-05T00:00:00"/>
    <s v="9989012560"/>
    <s v="THE MELT (DANVILLE)"/>
    <n v="1"/>
    <x v="5"/>
  </r>
  <r>
    <d v="2025-02-06T00:00:00"/>
    <s v="9989012561"/>
    <s v="HELLO STRANGER"/>
    <n v="1"/>
    <x v="13"/>
  </r>
  <r>
    <d v="2025-02-06T00:00:00"/>
    <s v="9989012561"/>
    <s v="HELLO STRANGER"/>
    <n v="2"/>
    <x v="28"/>
  </r>
  <r>
    <d v="2025-02-06T00:00:00"/>
    <s v="9989012562"/>
    <s v="HOG ISLAND OYSTER CO"/>
    <n v="3"/>
    <x v="26"/>
  </r>
  <r>
    <d v="2025-02-06T00:00:00"/>
    <s v="9989012562"/>
    <s v="HOG ISLAND OYSTER CO"/>
    <n v="3"/>
    <x v="13"/>
  </r>
  <r>
    <d v="2025-02-06T00:00:00"/>
    <s v="9989012562"/>
    <s v="HOG ISLAND OYSTER CO"/>
    <n v="3"/>
    <x v="27"/>
  </r>
  <r>
    <d v="2025-02-06T00:00:00"/>
    <s v="9989012563"/>
    <s v="UCSF MEDICAL CENTER PARNASSUS"/>
    <n v="1"/>
    <x v="31"/>
  </r>
  <r>
    <d v="2025-02-06T00:00:00"/>
    <s v="9989012563"/>
    <s v="UCSF MEDICAL CENTER PARNASSUS"/>
    <n v="1"/>
    <x v="35"/>
  </r>
  <r>
    <d v="2025-02-06T00:00:00"/>
    <s v="9989012563"/>
    <s v="UCSF MEDICAL CENTER PARNASSUS"/>
    <n v="2"/>
    <x v="34"/>
  </r>
  <r>
    <d v="2025-02-06T00:00:00"/>
    <s v="9989012563"/>
    <s v="UCSF MEDICAL CENTER PARNASSUS"/>
    <n v="1"/>
    <x v="24"/>
  </r>
  <r>
    <d v="2025-02-06T00:00:00"/>
    <s v="9989012563"/>
    <s v="UCSF MEDICAL CENTER PARNASSUS"/>
    <n v="1"/>
    <x v="36"/>
  </r>
  <r>
    <d v="2025-02-06T00:00:00"/>
    <s v="9989012563"/>
    <s v="UCSF MEDICAL CENTER PARNASSUS"/>
    <n v="1"/>
    <x v="36"/>
  </r>
  <r>
    <d v="2025-02-06T00:00:00"/>
    <s v="9989012564"/>
    <s v="CITY NIGHTS"/>
    <n v="3"/>
    <x v="8"/>
  </r>
  <r>
    <d v="2025-02-06T00:00:00"/>
    <s v="9989012564"/>
    <s v="CITY NIGHTS"/>
    <n v="2"/>
    <x v="12"/>
  </r>
  <r>
    <d v="2025-02-06T00:00:00"/>
    <s v="9989012564"/>
    <s v="CITY NIGHTS"/>
    <n v="1"/>
    <x v="18"/>
  </r>
  <r>
    <d v="2025-02-06T00:00:00"/>
    <s v="9989012564"/>
    <s v="CITY NIGHTS"/>
    <n v="2"/>
    <x v="28"/>
  </r>
  <r>
    <d v="2025-02-06T00:00:00"/>
    <s v="9989012564"/>
    <s v="CITY NIGHTS"/>
    <n v="2"/>
    <x v="22"/>
  </r>
  <r>
    <d v="2025-02-06T00:00:00"/>
    <s v="9989012565"/>
    <s v="THE PEARL SF"/>
    <n v="1"/>
    <x v="13"/>
  </r>
  <r>
    <d v="2025-02-06T00:00:00"/>
    <s v="9989012565"/>
    <s v="THE PEARL SF"/>
    <n v="1"/>
    <x v="14"/>
  </r>
  <r>
    <d v="2025-02-06T00:00:00"/>
    <s v="9989012565"/>
    <s v="THE PEARL SF"/>
    <n v="1"/>
    <x v="10"/>
  </r>
  <r>
    <d v="2025-02-06T00:00:00"/>
    <s v="9989012565"/>
    <s v="THE PEARL SF"/>
    <n v="1"/>
    <x v="15"/>
  </r>
  <r>
    <d v="2025-02-06T00:00:00"/>
    <s v="9989012566"/>
    <s v="THE BAMBOO HUT"/>
    <n v="1"/>
    <x v="13"/>
  </r>
  <r>
    <d v="2025-02-06T00:00:00"/>
    <s v="9989012566"/>
    <s v="THE BAMBOO HUT"/>
    <n v="1"/>
    <x v="12"/>
  </r>
  <r>
    <d v="2025-02-06T00:00:00"/>
    <s v="9989012566"/>
    <s v="THE BAMBOO HUT"/>
    <n v="1"/>
    <x v="19"/>
  </r>
  <r>
    <d v="2025-02-06T00:00:00"/>
    <s v="9989012566"/>
    <s v="THE BAMBOO HUT"/>
    <n v="1"/>
    <x v="18"/>
  </r>
  <r>
    <d v="2025-02-06T00:00:00"/>
    <s v="9989012566"/>
    <s v="THE BAMBOO HUT"/>
    <n v="2"/>
    <x v="37"/>
  </r>
  <r>
    <d v="2025-02-06T00:00:00"/>
    <s v="9989012567"/>
    <s v="SCOLARIS ON PARK ST"/>
    <n v="3"/>
    <x v="1"/>
  </r>
  <r>
    <d v="2025-02-06T00:00:00"/>
    <s v="9989012567"/>
    <s v="SCOLARIS ON PARK ST"/>
    <n v="5"/>
    <x v="4"/>
  </r>
  <r>
    <d v="2025-02-06T00:00:00"/>
    <s v="9989012567"/>
    <s v="SCOLARIS ON PARK ST"/>
    <n v="4"/>
    <x v="2"/>
  </r>
  <r>
    <d v="2025-02-06T00:00:00"/>
    <s v="9989012567"/>
    <s v="SCOLARIS ON PARK ST"/>
    <n v="3"/>
    <x v="3"/>
  </r>
  <r>
    <d v="2025-02-06T00:00:00"/>
    <s v="9989012567"/>
    <s v="SCOLARIS ON PARK ST"/>
    <n v="3"/>
    <x v="11"/>
  </r>
  <r>
    <d v="2025-02-06T00:00:00"/>
    <s v="9989012568"/>
    <s v="THE DIRTY BIRD LOUNGE LLC"/>
    <n v="3"/>
    <x v="14"/>
  </r>
  <r>
    <d v="2025-02-06T00:00:00"/>
    <s v="9989012570"/>
    <s v="MONROE"/>
    <n v="1"/>
    <x v="12"/>
  </r>
  <r>
    <d v="2025-02-06T00:00:00"/>
    <s v="9989012570"/>
    <s v="MONROE"/>
    <n v="1"/>
    <x v="21"/>
  </r>
  <r>
    <d v="2025-02-06T00:00:00"/>
    <s v="9989012570"/>
    <s v="MONROE"/>
    <n v="1"/>
    <x v="14"/>
  </r>
  <r>
    <d v="2025-02-06T00:00:00"/>
    <s v="9989012573"/>
    <s v="TEMPLE BAR -SFO"/>
    <n v="1"/>
    <x v="8"/>
  </r>
  <r>
    <d v="2025-02-06T00:00:00"/>
    <s v="9989012573"/>
    <s v="TEMPLE BAR -SFO"/>
    <n v="1"/>
    <x v="18"/>
  </r>
  <r>
    <d v="2025-02-06T00:00:00"/>
    <s v="9989012573"/>
    <s v="TEMPLE BAR -SFO"/>
    <n v="1"/>
    <x v="12"/>
  </r>
  <r>
    <d v="2025-02-06T00:00:00"/>
    <s v="9989012574"/>
    <s v="EL TENAMPA"/>
    <n v="3"/>
    <x v="28"/>
  </r>
  <r>
    <d v="2025-02-06T00:00:00"/>
    <s v="9989012574"/>
    <s v="EL TENAMPA"/>
    <n v="1"/>
    <x v="14"/>
  </r>
  <r>
    <d v="2025-02-06T00:00:00"/>
    <s v="9989012575"/>
    <s v="TEQUILA SHOTS BAR AND GRILL"/>
    <n v="1"/>
    <x v="21"/>
  </r>
  <r>
    <d v="2025-02-06T00:00:00"/>
    <s v="9989012575"/>
    <s v="TEQUILA SHOTS BAR AND GRILL"/>
    <n v="1"/>
    <x v="10"/>
  </r>
  <r>
    <d v="2025-02-06T00:00:00"/>
    <s v="9989012576"/>
    <s v="STARBIRD CHICKEN - SAN JOSE"/>
    <n v="1"/>
    <x v="8"/>
  </r>
  <r>
    <d v="2025-02-06T00:00:00"/>
    <s v="9989012576"/>
    <s v="STARBIRD CHICKEN - SAN JOSE"/>
    <n v="2"/>
    <x v="15"/>
  </r>
  <r>
    <d v="2025-02-06T00:00:00"/>
    <s v="9989012576"/>
    <s v="STARBIRD CHICKEN - SAN JOSE"/>
    <n v="1"/>
    <x v="5"/>
  </r>
  <r>
    <d v="2025-02-06T00:00:00"/>
    <s v="9989012576"/>
    <s v="STARBIRD CHICKEN - SAN JOSE"/>
    <n v="1"/>
    <x v="17"/>
  </r>
  <r>
    <d v="2025-02-06T00:00:00"/>
    <s v="9989012576"/>
    <s v="STARBIRD CHICKEN - SAN JOSE"/>
    <n v="1"/>
    <x v="10"/>
  </r>
  <r>
    <d v="2025-02-06T00:00:00"/>
    <s v="9989012576"/>
    <s v="STARBIRD CHICKEN - SAN JOSE"/>
    <n v="1"/>
    <x v="1"/>
  </r>
  <r>
    <d v="2025-02-06T00:00:00"/>
    <s v="9989012576"/>
    <s v="STARBIRD CHICKEN - SAN JOSE"/>
    <n v="1"/>
    <x v="11"/>
  </r>
  <r>
    <d v="2025-02-06T00:00:00"/>
    <s v="9989012576"/>
    <s v="STARBIRD CHICKEN - SAN JOSE"/>
    <n v="1"/>
    <x v="3"/>
  </r>
  <r>
    <d v="2025-02-06T00:00:00"/>
    <s v="9989012576"/>
    <s v="STARBIRD CHICKEN - SAN JOSE"/>
    <n v="1"/>
    <x v="4"/>
  </r>
  <r>
    <d v="2025-02-06T00:00:00"/>
    <s v="9989012576"/>
    <s v="STARBIRD CHICKEN - SAN JOSE"/>
    <n v="1"/>
    <x v="5"/>
  </r>
  <r>
    <d v="2025-02-06T00:00:00"/>
    <s v="9989012577"/>
    <s v="SEAWOLF"/>
    <n v="2"/>
    <x v="8"/>
  </r>
  <r>
    <d v="2025-02-06T00:00:00"/>
    <s v="9989012577"/>
    <s v="SEAWOLF"/>
    <n v="1"/>
    <x v="19"/>
  </r>
  <r>
    <d v="2025-02-06T00:00:00"/>
    <s v="9989012577"/>
    <s v="SEAWOLF"/>
    <n v="1"/>
    <x v="14"/>
  </r>
  <r>
    <d v="2025-02-06T00:00:00"/>
    <s v="9989012579"/>
    <s v="STRAITS SANTANA ROW"/>
    <n v="2"/>
    <x v="8"/>
  </r>
  <r>
    <d v="2025-02-06T00:00:00"/>
    <s v="9989012579"/>
    <s v="STRAITS SANTANA ROW"/>
    <n v="1"/>
    <x v="15"/>
  </r>
  <r>
    <d v="2025-02-06T00:00:00"/>
    <s v="9989012579"/>
    <s v="STRAITS SANTANA ROW"/>
    <n v="1"/>
    <x v="12"/>
  </r>
  <r>
    <d v="2025-02-06T00:00:00"/>
    <s v="9989012579"/>
    <s v="STRAITS SANTANA ROW"/>
    <n v="1"/>
    <x v="14"/>
  </r>
  <r>
    <d v="2025-02-06T00:00:00"/>
    <s v="9989012580"/>
    <s v="THE STORK CLUB"/>
    <n v="2"/>
    <x v="8"/>
  </r>
  <r>
    <d v="2025-02-06T00:00:00"/>
    <s v="9989012580"/>
    <s v="THE STORK CLUB"/>
    <n v="1"/>
    <x v="18"/>
  </r>
  <r>
    <d v="2025-02-06T00:00:00"/>
    <s v="9989012580"/>
    <s v="THE STORK CLUB"/>
    <n v="1"/>
    <x v="19"/>
  </r>
  <r>
    <d v="2025-02-06T00:00:00"/>
    <s v="9989012580"/>
    <s v="THE STORK CLUB"/>
    <n v="1"/>
    <x v="12"/>
  </r>
  <r>
    <d v="2025-02-07T00:00:00"/>
    <s v="9989012583"/>
    <s v="STARBIRD CHICKEN - CORTE MADERA"/>
    <n v="1"/>
    <x v="8"/>
  </r>
  <r>
    <d v="2025-02-07T00:00:00"/>
    <s v="9989012583"/>
    <s v="STARBIRD CHICKEN - CORTE MADERA"/>
    <n v="1"/>
    <x v="15"/>
  </r>
  <r>
    <d v="2025-02-07T00:00:00"/>
    <s v="9989012583"/>
    <s v="STARBIRD CHICKEN - CORTE MADERA"/>
    <n v="2"/>
    <x v="12"/>
  </r>
  <r>
    <d v="2025-02-07T00:00:00"/>
    <s v="9989012583"/>
    <s v="STARBIRD CHICKEN - CORTE MADERA"/>
    <n v="1"/>
    <x v="10"/>
  </r>
  <r>
    <d v="2025-02-07T00:00:00"/>
    <s v="9989012583"/>
    <s v="STARBIRD CHICKEN - CORTE MADERA"/>
    <n v="1"/>
    <x v="5"/>
  </r>
  <r>
    <d v="2025-02-07T00:00:00"/>
    <s v="9989012583"/>
    <s v="STARBIRD CHICKEN - CORTE MADERA"/>
    <n v="1"/>
    <x v="17"/>
  </r>
  <r>
    <d v="2025-02-07T00:00:00"/>
    <s v="9989012583"/>
    <s v="STARBIRD CHICKEN - CORTE MADERA"/>
    <n v="1"/>
    <x v="1"/>
  </r>
  <r>
    <d v="2025-02-07T00:00:00"/>
    <s v="9989012583"/>
    <s v="STARBIRD CHICKEN - CORTE MADERA"/>
    <n v="1"/>
    <x v="11"/>
  </r>
  <r>
    <d v="2025-02-07T00:00:00"/>
    <s v="9989012583"/>
    <s v="STARBIRD CHICKEN - CORTE MADERA"/>
    <n v="1"/>
    <x v="3"/>
  </r>
  <r>
    <d v="2025-02-07T00:00:00"/>
    <s v="9989012583"/>
    <s v="STARBIRD CHICKEN - CORTE MADERA"/>
    <n v="1"/>
    <x v="4"/>
  </r>
  <r>
    <d v="2025-02-07T00:00:00"/>
    <s v="9989012584"/>
    <s v="THE JUNCTION"/>
    <n v="1"/>
    <x v="7"/>
  </r>
  <r>
    <d v="2025-02-07T00:00:00"/>
    <s v="9989012584"/>
    <s v="THE JUNCTION"/>
    <n v="1"/>
    <x v="25"/>
  </r>
  <r>
    <d v="2025-02-07T00:00:00"/>
    <s v="9989012587"/>
    <s v="HEINOLDS FIRST AND LAST CHANCE"/>
    <n v="1"/>
    <x v="12"/>
  </r>
  <r>
    <d v="2025-02-07T00:00:00"/>
    <s v="9989012587"/>
    <s v="HEINOLDS FIRST AND LAST CHANCE"/>
    <n v="1"/>
    <x v="10"/>
  </r>
  <r>
    <d v="2025-02-07T00:00:00"/>
    <s v="9989012587"/>
    <s v="HEINOLDS FIRST AND LAST CHANCE"/>
    <n v="2"/>
    <x v="11"/>
  </r>
  <r>
    <d v="2025-02-07T00:00:00"/>
    <s v="9989012588"/>
    <s v="PARK STREET TAVERN"/>
    <n v="1"/>
    <x v="15"/>
  </r>
  <r>
    <d v="2025-02-07T00:00:00"/>
    <s v="9989012588"/>
    <s v="PARK STREET TAVERN"/>
    <n v="1"/>
    <x v="10"/>
  </r>
  <r>
    <d v="2025-02-07T00:00:00"/>
    <s v="9989012588"/>
    <s v="PARK STREET TAVERN"/>
    <n v="1"/>
    <x v="12"/>
  </r>
  <r>
    <d v="2025-02-07T00:00:00"/>
    <s v="9989012588"/>
    <s v="PARK STREET TAVERN"/>
    <n v="1"/>
    <x v="18"/>
  </r>
  <r>
    <d v="2025-02-07T00:00:00"/>
    <s v="9989012588"/>
    <s v="PARK STREET TAVERN"/>
    <n v="1"/>
    <x v="7"/>
  </r>
  <r>
    <d v="2025-02-07T00:00:00"/>
    <s v="9989012588"/>
    <s v="PARK STREET TAVERN"/>
    <n v="2"/>
    <x v="1"/>
  </r>
  <r>
    <d v="2025-02-07T00:00:00"/>
    <s v="9989012589"/>
    <s v="HOBNOB RESTAURANT"/>
    <n v="2"/>
    <x v="8"/>
  </r>
  <r>
    <d v="2025-02-07T00:00:00"/>
    <s v="9989012589"/>
    <s v="HOBNOB RESTAURANT"/>
    <n v="1"/>
    <x v="7"/>
  </r>
  <r>
    <d v="2025-02-07T00:00:00"/>
    <s v="9989012590"/>
    <s v="STATE OF MIND PUBLIC HOUSE &amp; PIZZERIA (LOS ALTOS)"/>
    <n v="2"/>
    <x v="8"/>
  </r>
  <r>
    <d v="2025-02-07T00:00:00"/>
    <s v="9989012590"/>
    <s v="STATE OF MIND PUBLIC HOUSE &amp; PIZZERIA (LOS ALTOS)"/>
    <n v="1"/>
    <x v="15"/>
  </r>
  <r>
    <d v="2025-02-07T00:00:00"/>
    <s v="9989012590"/>
    <s v="STATE OF MIND PUBLIC HOUSE &amp; PIZZERIA (LOS ALTOS)"/>
    <n v="1"/>
    <x v="19"/>
  </r>
  <r>
    <d v="2025-02-07T00:00:00"/>
    <s v="9989012590"/>
    <s v="STATE OF MIND PUBLIC HOUSE &amp; PIZZERIA (LOS ALTOS)"/>
    <n v="1"/>
    <x v="9"/>
  </r>
  <r>
    <d v="2025-02-07T00:00:00"/>
    <s v="9989012590"/>
    <s v="STATE OF MIND PUBLIC HOUSE &amp; PIZZERIA (LOS ALTOS)"/>
    <n v="2"/>
    <x v="7"/>
  </r>
  <r>
    <d v="2025-02-07T00:00:00"/>
    <s v="9989012592"/>
    <s v="ALAMEDA THEATRE"/>
    <n v="2"/>
    <x v="38"/>
  </r>
  <r>
    <d v="2025-02-07T00:00:00"/>
    <s v="9989012593"/>
    <s v="RAMBUS"/>
    <n v="1"/>
    <x v="37"/>
  </r>
  <r>
    <d v="2025-02-07T00:00:00"/>
    <s v="9989012594"/>
    <s v="THE MELT- PARADISE VALLEY AZ"/>
    <n v="2"/>
    <x v="16"/>
  </r>
  <r>
    <d v="2025-02-07T00:00:00"/>
    <s v="9989012594"/>
    <s v="THE MELT- PARADISE VALLEY AZ"/>
    <n v="3"/>
    <x v="8"/>
  </r>
  <r>
    <d v="2025-02-07T00:00:00"/>
    <s v="9989012594"/>
    <s v="THE MELT- PARADISE VALLEY AZ"/>
    <n v="3"/>
    <x v="15"/>
  </r>
  <r>
    <d v="2025-02-07T00:00:00"/>
    <s v="9989012594"/>
    <s v="THE MELT- PARADISE VALLEY AZ"/>
    <n v="1"/>
    <x v="10"/>
  </r>
  <r>
    <d v="2025-02-07T00:00:00"/>
    <s v="9989012594"/>
    <s v="THE MELT- PARADISE VALLEY AZ"/>
    <n v="2"/>
    <x v="12"/>
  </r>
  <r>
    <d v="2025-02-07T00:00:00"/>
    <s v="9989012594"/>
    <s v="THE MELT- PARADISE VALLEY AZ"/>
    <n v="2"/>
    <x v="9"/>
  </r>
  <r>
    <d v="2025-02-07T00:00:00"/>
    <s v="9989012594"/>
    <s v="THE MELT- PARADISE VALLEY AZ"/>
    <n v="3"/>
    <x v="5"/>
  </r>
  <r>
    <d v="2025-02-10T00:00:00"/>
    <s v="9989012595"/>
    <s v="STARBIRD CHICKEN - CORTE MADERA"/>
    <n v="1"/>
    <x v="5"/>
  </r>
  <r>
    <d v="2025-02-10T00:00:00"/>
    <s v="9989012596"/>
    <s v="THE MELT (SACRAMENTO-BLVD)"/>
    <n v="2"/>
    <x v="16"/>
  </r>
  <r>
    <d v="2025-02-10T00:00:00"/>
    <s v="9989012596"/>
    <s v="THE MELT (SACRAMENTO-BLVD)"/>
    <n v="2"/>
    <x v="8"/>
  </r>
  <r>
    <d v="2025-02-10T00:00:00"/>
    <s v="9989012596"/>
    <s v="THE MELT (SACRAMENTO-BLVD)"/>
    <n v="2"/>
    <x v="5"/>
  </r>
  <r>
    <d v="2025-02-10T00:00:00"/>
    <s v="9989012596"/>
    <s v="THE MELT (SACRAMENTO-BLVD)"/>
    <n v="2"/>
    <x v="10"/>
  </r>
  <r>
    <d v="2025-02-10T00:00:00"/>
    <s v="9989012598"/>
    <s v="THE MELT (FOLSOM)"/>
    <n v="2"/>
    <x v="16"/>
  </r>
  <r>
    <d v="2025-02-10T00:00:00"/>
    <s v="9989012598"/>
    <s v="THE MELT (FOLSOM)"/>
    <n v="2"/>
    <x v="8"/>
  </r>
  <r>
    <d v="2025-02-10T00:00:00"/>
    <s v="9989012598"/>
    <s v="THE MELT (FOLSOM)"/>
    <n v="1"/>
    <x v="15"/>
  </r>
  <r>
    <d v="2025-02-10T00:00:00"/>
    <s v="9989012598"/>
    <s v="THE MELT (FOLSOM)"/>
    <n v="1"/>
    <x v="12"/>
  </r>
  <r>
    <d v="2025-02-10T00:00:00"/>
    <s v="9989012598"/>
    <s v="THE MELT (FOLSOM)"/>
    <n v="2"/>
    <x v="5"/>
  </r>
  <r>
    <d v="2025-02-10T00:00:00"/>
    <s v="9989012599"/>
    <s v="SMITTY'S"/>
    <n v="1"/>
    <x v="8"/>
  </r>
  <r>
    <d v="2025-02-10T00:00:00"/>
    <s v="9989012600"/>
    <s v="IN THE BAGGYS"/>
    <n v="1"/>
    <x v="12"/>
  </r>
  <r>
    <d v="2025-02-11T00:00:00"/>
    <s v="9989012602"/>
    <s v="THE STAR ON PARK"/>
    <n v="1"/>
    <x v="9"/>
  </r>
  <r>
    <d v="2025-02-11T00:00:00"/>
    <s v="9989012602"/>
    <s v="THE STAR ON PARK"/>
    <n v="1"/>
    <x v="12"/>
  </r>
  <r>
    <d v="2025-02-11T00:00:00"/>
    <s v="9989012602"/>
    <s v="THE STAR ON PARK"/>
    <n v="1"/>
    <x v="10"/>
  </r>
  <r>
    <d v="2025-02-11T00:00:00"/>
    <s v="9989012602"/>
    <s v="THE STAR ON PARK"/>
    <n v="1"/>
    <x v="14"/>
  </r>
  <r>
    <d v="2025-02-11T00:00:00"/>
    <s v="9989012602"/>
    <s v="THE STAR ON PARK"/>
    <n v="1"/>
    <x v="8"/>
  </r>
  <r>
    <d v="2025-02-11T00:00:00"/>
    <s v="9989012603"/>
    <s v="ENCINAL MARKET"/>
    <n v="1"/>
    <x v="1"/>
  </r>
  <r>
    <d v="2025-02-11T00:00:00"/>
    <s v="9989012603"/>
    <s v="ENCINAL MARKET"/>
    <n v="1"/>
    <x v="1"/>
  </r>
  <r>
    <d v="2025-02-11T00:00:00"/>
    <s v="9989012603"/>
    <s v="ENCINAL MARKET"/>
    <n v="1"/>
    <x v="2"/>
  </r>
  <r>
    <d v="2025-02-11T00:00:00"/>
    <s v="9989012603"/>
    <s v="ENCINAL MARKET"/>
    <n v="1"/>
    <x v="4"/>
  </r>
  <r>
    <d v="2025-02-11T00:00:00"/>
    <s v="9989012603"/>
    <s v="ENCINAL MARKET"/>
    <n v="1"/>
    <x v="0"/>
  </r>
  <r>
    <d v="2025-02-11T00:00:00"/>
    <s v="9989012603"/>
    <s v="ENCINAL MARKET"/>
    <n v="1"/>
    <x v="3"/>
  </r>
  <r>
    <d v="2025-02-11T00:00:00"/>
    <s v="9989012604"/>
    <s v="PIXAR ANIMATION STUDIOS"/>
    <n v="1"/>
    <x v="10"/>
  </r>
  <r>
    <d v="2025-02-11T00:00:00"/>
    <s v="9989012604"/>
    <s v="PIXAR ANIMATION STUDIOS"/>
    <n v="1"/>
    <x v="15"/>
  </r>
  <r>
    <d v="2025-02-11T00:00:00"/>
    <s v="9989012604"/>
    <s v="PIXAR ANIMATION STUDIOS"/>
    <n v="2"/>
    <x v="7"/>
  </r>
  <r>
    <d v="2025-02-11T00:00:00"/>
    <s v="9989012605"/>
    <s v="PICANTE"/>
    <n v="1"/>
    <x v="12"/>
  </r>
  <r>
    <d v="2025-02-11T00:00:00"/>
    <s v="9989012605"/>
    <s v="PICANTE"/>
    <n v="2"/>
    <x v="7"/>
  </r>
  <r>
    <d v="2025-02-11T00:00:00"/>
    <s v="9989012606"/>
    <s v="HAMPTON INN ALAMEDA"/>
    <n v="1"/>
    <x v="8"/>
  </r>
  <r>
    <d v="2025-02-11T00:00:00"/>
    <s v="9989012606"/>
    <s v="HAMPTON INN ALAMEDA"/>
    <n v="1"/>
    <x v="15"/>
  </r>
  <r>
    <d v="2025-02-11T00:00:00"/>
    <s v="9989012607"/>
    <s v="THE RANCHO SALOON"/>
    <n v="1"/>
    <x v="8"/>
  </r>
  <r>
    <d v="2025-02-11T00:00:00"/>
    <s v="9989012607"/>
    <s v="THE RANCHO SALOON"/>
    <n v="1"/>
    <x v="18"/>
  </r>
  <r>
    <d v="2025-02-11T00:00:00"/>
    <s v="9989012607"/>
    <s v="THE RANCHO SALOON"/>
    <n v="1"/>
    <x v="21"/>
  </r>
  <r>
    <d v="2025-02-11T00:00:00"/>
    <s v="9989012607"/>
    <s v="THE RANCHO SALOON"/>
    <n v="1"/>
    <x v="22"/>
  </r>
  <r>
    <d v="2025-02-11T00:00:00"/>
    <s v="9989012608"/>
    <s v="STARBIRD CHICKEN - SF CLOUD"/>
    <n v="4"/>
    <x v="1"/>
  </r>
  <r>
    <d v="2025-02-11T00:00:00"/>
    <s v="9989012608"/>
    <s v="STARBIRD CHICKEN - SF CLOUD"/>
    <n v="2"/>
    <x v="11"/>
  </r>
  <r>
    <d v="2025-02-11T00:00:00"/>
    <s v="9989012609"/>
    <s v="THE DEAD FISH"/>
    <n v="1"/>
    <x v="13"/>
  </r>
  <r>
    <d v="2025-02-11T00:00:00"/>
    <s v="9989012609"/>
    <s v="THE DEAD FISH"/>
    <n v="1"/>
    <x v="7"/>
  </r>
  <r>
    <d v="2025-02-11T00:00:00"/>
    <s v="9989012610"/>
    <s v="WAREHOUSE CAFE"/>
    <n v="1"/>
    <x v="8"/>
  </r>
  <r>
    <d v="2025-02-11T00:00:00"/>
    <s v="9989012610"/>
    <s v="WAREHOUSE CAFE"/>
    <n v="1"/>
    <x v="24"/>
  </r>
  <r>
    <d v="2025-02-11T00:00:00"/>
    <s v="9989012610"/>
    <s v="WAREHOUSE CAFE"/>
    <n v="1"/>
    <x v="12"/>
  </r>
  <r>
    <d v="2025-02-11T00:00:00"/>
    <s v="9989012610"/>
    <s v="WAREHOUSE CAFE"/>
    <n v="1"/>
    <x v="21"/>
  </r>
  <r>
    <d v="2025-02-11T00:00:00"/>
    <s v="9989012610"/>
    <s v="WAREHOUSE CAFE"/>
    <n v="1"/>
    <x v="14"/>
  </r>
  <r>
    <d v="2025-02-11T00:00:00"/>
    <s v="9989012612"/>
    <s v="THE LAUNDROMAT"/>
    <n v="1"/>
    <x v="8"/>
  </r>
  <r>
    <d v="2025-02-11T00:00:00"/>
    <s v="9989012612"/>
    <s v="THE LAUNDROMAT"/>
    <n v="1"/>
    <x v="15"/>
  </r>
  <r>
    <d v="2025-02-11T00:00:00"/>
    <s v="9989012612"/>
    <s v="THE LAUNDROMAT"/>
    <n v="1"/>
    <x v="5"/>
  </r>
  <r>
    <d v="2025-02-11T00:00:00"/>
    <s v="9989012612"/>
    <s v="THE LAUNDROMAT"/>
    <n v="3"/>
    <x v="0"/>
  </r>
  <r>
    <d v="2025-02-11T00:00:00"/>
    <s v="9989012613"/>
    <s v="CLUB MALLARD"/>
    <n v="1"/>
    <x v="8"/>
  </r>
  <r>
    <d v="2025-02-11T00:00:00"/>
    <s v="9989012613"/>
    <s v="CLUB MALLARD"/>
    <n v="1"/>
    <x v="12"/>
  </r>
  <r>
    <d v="2025-02-11T00:00:00"/>
    <s v="9989012614"/>
    <s v="WILLKOMMEN"/>
    <n v="1"/>
    <x v="8"/>
  </r>
  <r>
    <d v="2025-02-11T00:00:00"/>
    <s v="9989012614"/>
    <s v="WILLKOMMEN"/>
    <n v="1"/>
    <x v="15"/>
  </r>
  <r>
    <d v="2025-02-11T00:00:00"/>
    <s v="9989012614"/>
    <s v="WILLKOMMEN"/>
    <n v="1"/>
    <x v="12"/>
  </r>
  <r>
    <d v="2025-02-11T00:00:00"/>
    <s v="9989012614"/>
    <s v="WILLKOMMEN"/>
    <n v="1"/>
    <x v="10"/>
  </r>
  <r>
    <d v="2025-02-11T00:00:00"/>
    <s v="9989012615"/>
    <s v="GATHER"/>
    <n v="3"/>
    <x v="11"/>
  </r>
  <r>
    <d v="2025-02-11T00:00:00"/>
    <s v="9989012615"/>
    <s v="GATHER"/>
    <n v="3"/>
    <x v="1"/>
  </r>
  <r>
    <d v="2025-02-11T00:00:00"/>
    <s v="9989012616"/>
    <s v="ROSES ON ADELINE"/>
    <n v="1"/>
    <x v="8"/>
  </r>
  <r>
    <d v="2025-02-11T00:00:00"/>
    <s v="9989012617"/>
    <s v="THE COMET"/>
    <n v="1"/>
    <x v="14"/>
  </r>
  <r>
    <d v="2025-02-11T00:00:00"/>
    <s v="9989012618"/>
    <s v="MISSOURI LOUNGE &amp; CAFE"/>
    <n v="1"/>
    <x v="8"/>
  </r>
  <r>
    <d v="2025-02-11T00:00:00"/>
    <s v="9989012620"/>
    <s v="LUCKY 13"/>
    <n v="1"/>
    <x v="19"/>
  </r>
  <r>
    <d v="2025-02-11T00:00:00"/>
    <s v="9989012620"/>
    <s v="LUCKY 13"/>
    <n v="1"/>
    <x v="10"/>
  </r>
  <r>
    <d v="2025-02-11T00:00:00"/>
    <s v="9989012620"/>
    <s v="LUCKY 13"/>
    <n v="1"/>
    <x v="14"/>
  </r>
  <r>
    <d v="2025-02-11T00:00:00"/>
    <s v="9989012621"/>
    <s v="THE AVENUE"/>
    <n v="2"/>
    <x v="8"/>
  </r>
  <r>
    <d v="2025-02-11T00:00:00"/>
    <s v="9989012621"/>
    <s v="THE AVENUE"/>
    <n v="1"/>
    <x v="12"/>
  </r>
  <r>
    <d v="2025-02-12T00:00:00"/>
    <s v="9989012624"/>
    <s v="ALAMEDA BREWING"/>
    <n v="2"/>
    <x v="1"/>
  </r>
  <r>
    <d v="2025-02-12T00:00:00"/>
    <s v="9989012624"/>
    <s v="ALAMEDA BREWING"/>
    <n v="1"/>
    <x v="11"/>
  </r>
  <r>
    <d v="2025-02-12T00:00:00"/>
    <s v="9989012624"/>
    <s v="ALAMEDA BREWING"/>
    <n v="1"/>
    <x v="3"/>
  </r>
  <r>
    <d v="2025-02-12T00:00:00"/>
    <s v="9989012624"/>
    <s v="ALAMEDA BREWING"/>
    <n v="2"/>
    <x v="4"/>
  </r>
  <r>
    <d v="2025-02-12T00:00:00"/>
    <s v="9989012624"/>
    <s v="ALAMEDA BREWING"/>
    <n v="2"/>
    <x v="2"/>
  </r>
  <r>
    <d v="2025-02-12T00:00:00"/>
    <s v="9989012624"/>
    <s v="ALAMEDA BREWING"/>
    <n v="2"/>
    <x v="0"/>
  </r>
  <r>
    <d v="2025-02-12T00:00:00"/>
    <s v="9989012625"/>
    <s v="HELLO STRANGER"/>
    <n v="1"/>
    <x v="27"/>
  </r>
  <r>
    <d v="2025-02-12T00:00:00"/>
    <s v="9989012625"/>
    <s v="HELLO STRANGER"/>
    <n v="1"/>
    <x v="14"/>
  </r>
  <r>
    <d v="2025-02-12T00:00:00"/>
    <s v="9989012626"/>
    <s v="LUNA LOCA (JAINS FOODS)"/>
    <n v="1"/>
    <x v="8"/>
  </r>
  <r>
    <d v="2025-02-12T00:00:00"/>
    <s v="9989012626"/>
    <s v="LUNA LOCA (JAINS FOODS)"/>
    <n v="2"/>
    <x v="15"/>
  </r>
  <r>
    <d v="2025-02-12T00:00:00"/>
    <s v="9989012627"/>
    <s v="DANVILLE BREWERY"/>
    <n v="1"/>
    <x v="15"/>
  </r>
  <r>
    <d v="2025-02-12T00:00:00"/>
    <s v="9989012627"/>
    <s v="DANVILLE BREWERY"/>
    <n v="1"/>
    <x v="14"/>
  </r>
  <r>
    <d v="2025-02-12T00:00:00"/>
    <s v="9989012627"/>
    <s v="DANVILLE BREWERY"/>
    <n v="1"/>
    <x v="10"/>
  </r>
  <r>
    <d v="2025-02-12T00:00:00"/>
    <s v="9989012628"/>
    <s v="HOMETOWN HEROES -SSF"/>
    <n v="1"/>
    <x v="15"/>
  </r>
  <r>
    <d v="2025-02-12T00:00:00"/>
    <s v="9989012628"/>
    <s v="HOMETOWN HEROES -SSF"/>
    <n v="1"/>
    <x v="8"/>
  </r>
  <r>
    <d v="2025-02-12T00:00:00"/>
    <s v="9989012628"/>
    <s v="HOMETOWN HEROES -SSF"/>
    <n v="1"/>
    <x v="12"/>
  </r>
  <r>
    <d v="2025-02-12T00:00:00"/>
    <s v="9989012629"/>
    <s v="JOHNSTONS SALTBOX"/>
    <n v="1"/>
    <x v="15"/>
  </r>
  <r>
    <d v="2025-02-12T00:00:00"/>
    <s v="9989012629"/>
    <s v="JOHNSTONS SALTBOX"/>
    <n v="1"/>
    <x v="5"/>
  </r>
  <r>
    <d v="2025-02-12T00:00:00"/>
    <s v="9989012630"/>
    <s v="THE MELT (STANFORD)"/>
    <n v="2"/>
    <x v="8"/>
  </r>
  <r>
    <d v="2025-02-12T00:00:00"/>
    <s v="9989012630"/>
    <s v="THE MELT (STANFORD)"/>
    <n v="2"/>
    <x v="15"/>
  </r>
  <r>
    <d v="2025-02-12T00:00:00"/>
    <s v="9989012630"/>
    <s v="THE MELT (STANFORD)"/>
    <n v="1"/>
    <x v="5"/>
  </r>
  <r>
    <d v="2025-02-12T00:00:00"/>
    <s v="9989012630"/>
    <s v="THE MELT (STANFORD)"/>
    <n v="1"/>
    <x v="9"/>
  </r>
  <r>
    <d v="2025-02-12T00:00:00"/>
    <s v="9989012631"/>
    <s v="STARBIRD CHICKEN - PALO ALTO"/>
    <n v="2"/>
    <x v="15"/>
  </r>
  <r>
    <d v="2025-02-12T00:00:00"/>
    <s v="9989012631"/>
    <s v="STARBIRD CHICKEN - PALO ALTO"/>
    <n v="2"/>
    <x v="8"/>
  </r>
  <r>
    <d v="2025-02-12T00:00:00"/>
    <s v="9989012631"/>
    <s v="STARBIRD CHICKEN - PALO ALTO"/>
    <n v="1"/>
    <x v="5"/>
  </r>
  <r>
    <d v="2025-02-12T00:00:00"/>
    <s v="9989012631"/>
    <s v="STARBIRD CHICKEN - PALO ALTO"/>
    <n v="1"/>
    <x v="12"/>
  </r>
  <r>
    <d v="2025-02-12T00:00:00"/>
    <s v="9989012631"/>
    <s v="STARBIRD CHICKEN - PALO ALTO"/>
    <n v="2"/>
    <x v="11"/>
  </r>
  <r>
    <d v="2025-02-12T00:00:00"/>
    <s v="9989012631"/>
    <s v="STARBIRD CHICKEN - PALO ALTO"/>
    <n v="4"/>
    <x v="1"/>
  </r>
  <r>
    <d v="2025-02-12T00:00:00"/>
    <s v="9989012631"/>
    <s v="STARBIRD CHICKEN - PALO ALTO"/>
    <n v="4"/>
    <x v="3"/>
  </r>
  <r>
    <d v="2025-02-12T00:00:00"/>
    <s v="9989012631"/>
    <s v="STARBIRD CHICKEN - PALO ALTO"/>
    <n v="3"/>
    <x v="4"/>
  </r>
  <r>
    <d v="2025-02-12T00:00:00"/>
    <s v="9989012632"/>
    <s v="MONTE CARLO"/>
    <n v="2"/>
    <x v="28"/>
  </r>
  <r>
    <d v="2025-02-12T00:00:00"/>
    <s v="9989012632"/>
    <s v="MONTE CARLO"/>
    <n v="1"/>
    <x v="14"/>
  </r>
  <r>
    <d v="2025-02-12T00:00:00"/>
    <s v="9989012633"/>
    <s v="STARBIRD CHICKEN - PLEASANTON"/>
    <n v="2"/>
    <x v="8"/>
  </r>
  <r>
    <d v="2025-02-12T00:00:00"/>
    <s v="9989012633"/>
    <s v="STARBIRD CHICKEN - PLEASANTON"/>
    <n v="2"/>
    <x v="5"/>
  </r>
  <r>
    <d v="2025-02-12T00:00:00"/>
    <s v="9989012633"/>
    <s v="STARBIRD CHICKEN - PLEASANTON"/>
    <n v="1"/>
    <x v="10"/>
  </r>
  <r>
    <d v="2025-02-12T00:00:00"/>
    <s v="9989012635"/>
    <s v="OAKWOOD ATHLETIC CLUB"/>
    <n v="1"/>
    <x v="21"/>
  </r>
  <r>
    <d v="2025-02-12T00:00:00"/>
    <s v="9989012637"/>
    <s v="CROWN AND CROW"/>
    <n v="2"/>
    <x v="12"/>
  </r>
  <r>
    <d v="2025-02-12T00:00:00"/>
    <s v="9989012637"/>
    <s v="CROWN AND CROW"/>
    <n v="1"/>
    <x v="8"/>
  </r>
  <r>
    <d v="2025-02-12T00:00:00"/>
    <s v="9989012637"/>
    <s v="CROWN AND CROW"/>
    <n v="1"/>
    <x v="10"/>
  </r>
  <r>
    <d v="2025-02-12T00:00:00"/>
    <s v="9989012638"/>
    <s v="CANYON CLUB BREWERY"/>
    <n v="2"/>
    <x v="7"/>
  </r>
  <r>
    <d v="2025-02-12T00:00:00"/>
    <s v="9989012638"/>
    <s v="CANYON CLUB BREWERY"/>
    <n v="1"/>
    <x v="8"/>
  </r>
  <r>
    <d v="2025-02-12T00:00:00"/>
    <s v="9989012639"/>
    <s v="THE MELT (7TH @ FIG)"/>
    <n v="2"/>
    <x v="16"/>
  </r>
  <r>
    <d v="2025-02-12T00:00:00"/>
    <s v="9989012640"/>
    <s v="KONA CLUB"/>
    <n v="1"/>
    <x v="21"/>
  </r>
  <r>
    <d v="2025-02-12T00:00:00"/>
    <s v="9989012640"/>
    <s v="KONA CLUB"/>
    <n v="1"/>
    <x v="18"/>
  </r>
  <r>
    <d v="2025-02-12T00:00:00"/>
    <s v="9989012623"/>
    <s v="LIVERMORE CASINO"/>
    <n v="1"/>
    <x v="13"/>
  </r>
  <r>
    <d v="2025-02-12T00:00:00"/>
    <s v="9989012623"/>
    <s v="LIVERMORE CASINO"/>
    <n v="1"/>
    <x v="24"/>
  </r>
  <r>
    <d v="2025-02-12T00:00:00"/>
    <s v="9989012623"/>
    <s v="LIVERMORE CASINO"/>
    <n v="1"/>
    <x v="12"/>
  </r>
  <r>
    <d v="2025-02-12T00:00:00"/>
    <s v="9989012622"/>
    <s v="CALI KID BURGERS AND SHAKES"/>
    <n v="1"/>
    <x v="8"/>
  </r>
  <r>
    <d v="2025-02-12T00:00:00"/>
    <s v="9989012622"/>
    <s v="CALI KID BURGERS AND SHAKES"/>
    <n v="1"/>
    <x v="15"/>
  </r>
  <r>
    <d v="2025-02-12T00:00:00"/>
    <s v="9989012622"/>
    <s v="CALI KID BURGERS AND SHAKES"/>
    <n v="1"/>
    <x v="12"/>
  </r>
  <r>
    <d v="2025-02-12T00:00:00"/>
    <s v="9989012622"/>
    <s v="CALI KID BURGERS AND SHAKES"/>
    <n v="1"/>
    <x v="6"/>
  </r>
  <r>
    <d v="2025-02-13T00:00:00"/>
    <s v="9989012641"/>
    <s v="STARBIRD CHICKEN - SF CLOUD"/>
    <n v="3"/>
    <x v="3"/>
  </r>
  <r>
    <d v="2025-02-13T00:00:00"/>
    <s v="9989012641"/>
    <s v="STARBIRD CHICKEN - SF CLOUD"/>
    <n v="2"/>
    <x v="4"/>
  </r>
  <r>
    <d v="2025-02-13T00:00:00"/>
    <s v="9989012642"/>
    <s v="BI-RITE MARKET 18th ST"/>
    <n v="3"/>
    <x v="3"/>
  </r>
  <r>
    <d v="2025-02-13T00:00:00"/>
    <s v="9989012642"/>
    <s v="BI-RITE MARKET 18th ST"/>
    <n v="3"/>
    <x v="4"/>
  </r>
  <r>
    <d v="2025-02-13T00:00:00"/>
    <s v="9989012642"/>
    <s v="BI-RITE MARKET 18th ST"/>
    <n v="3"/>
    <x v="2"/>
  </r>
  <r>
    <d v="2025-02-13T00:00:00"/>
    <s v="9989012643"/>
    <s v="Bi-RITE MARKET DIVISADERO"/>
    <n v="3"/>
    <x v="3"/>
  </r>
  <r>
    <d v="2025-02-13T00:00:00"/>
    <s v="9989012643"/>
    <s v="Bi-RITE MARKET DIVISADERO"/>
    <n v="3"/>
    <x v="4"/>
  </r>
  <r>
    <d v="2025-02-13T00:00:00"/>
    <s v="9989012643"/>
    <s v="Bi-RITE MARKET DIVISADERO"/>
    <n v="3"/>
    <x v="2"/>
  </r>
  <r>
    <d v="2025-02-13T00:00:00"/>
    <s v="9989012644"/>
    <s v="BI-RITE MARKET POLK ST"/>
    <n v="3"/>
    <x v="3"/>
  </r>
  <r>
    <d v="2025-02-13T00:00:00"/>
    <s v="9989012644"/>
    <s v="BI-RITE MARKET POLK ST"/>
    <n v="3"/>
    <x v="4"/>
  </r>
  <r>
    <d v="2025-02-13T00:00:00"/>
    <s v="9989012644"/>
    <s v="BI-RITE MARKET POLK ST"/>
    <n v="3"/>
    <x v="2"/>
  </r>
  <r>
    <d v="2025-02-13T00:00:00"/>
    <s v="9989012645"/>
    <s v="CIGAR BAR AND GRILL"/>
    <n v="2"/>
    <x v="8"/>
  </r>
  <r>
    <d v="2025-02-13T00:00:00"/>
    <s v="9989012645"/>
    <s v="CIGAR BAR AND GRILL"/>
    <n v="1"/>
    <x v="37"/>
  </r>
  <r>
    <d v="2025-02-13T00:00:00"/>
    <s v="9989012645"/>
    <s v="CIGAR BAR AND GRILL"/>
    <n v="1"/>
    <x v="12"/>
  </r>
  <r>
    <d v="2025-02-13T00:00:00"/>
    <s v="9989012646"/>
    <s v="THE LAUNDROMAT"/>
    <n v="3"/>
    <x v="4"/>
  </r>
  <r>
    <d v="2025-02-13T00:00:00"/>
    <s v="9989012646"/>
    <s v="THE LAUNDROMAT"/>
    <n v="-3"/>
    <x v="0"/>
  </r>
  <r>
    <d v="2025-02-13T00:00:00"/>
    <s v="9989012647"/>
    <s v="CITY NIGHTS"/>
    <n v="3"/>
    <x v="12"/>
  </r>
  <r>
    <d v="2025-02-13T00:00:00"/>
    <s v="9989012647"/>
    <s v="CITY NIGHTS"/>
    <n v="3"/>
    <x v="21"/>
  </r>
  <r>
    <d v="2025-02-13T00:00:00"/>
    <s v="9989012647"/>
    <s v="CITY NIGHTS"/>
    <n v="3"/>
    <x v="8"/>
  </r>
  <r>
    <d v="2025-02-13T00:00:00"/>
    <s v="9989012647"/>
    <s v="CITY NIGHTS"/>
    <n v="3"/>
    <x v="15"/>
  </r>
  <r>
    <d v="2025-02-13T00:00:00"/>
    <s v="9989012647"/>
    <s v="CITY NIGHTS"/>
    <n v="3"/>
    <x v="14"/>
  </r>
  <r>
    <d v="2025-02-13T00:00:00"/>
    <s v="9989012647"/>
    <s v="CITY NIGHTS"/>
    <n v="3"/>
    <x v="28"/>
  </r>
  <r>
    <d v="2025-02-13T00:00:00"/>
    <s v="9989012648"/>
    <s v="SWISS PARK BAR &amp; GRILLE NEWARK"/>
    <n v="2"/>
    <x v="8"/>
  </r>
  <r>
    <d v="2025-02-13T00:00:00"/>
    <s v="9989012648"/>
    <s v="SWISS PARK BAR &amp; GRILLE NEWARK"/>
    <n v="2"/>
    <x v="12"/>
  </r>
  <r>
    <d v="2025-02-13T00:00:00"/>
    <s v="9989012648"/>
    <s v="SWISS PARK BAR &amp; GRILLE NEWARK"/>
    <n v="1"/>
    <x v="14"/>
  </r>
  <r>
    <d v="2025-02-13T00:00:00"/>
    <s v="9989012649"/>
    <s v="GREAT AMERICAN MUSIC HALL"/>
    <n v="1"/>
    <x v="18"/>
  </r>
  <r>
    <d v="2025-02-13T00:00:00"/>
    <s v="9989012649"/>
    <s v="GREAT AMERICAN MUSIC HALL"/>
    <n v="1"/>
    <x v="8"/>
  </r>
  <r>
    <d v="2025-02-13T00:00:00"/>
    <s v="9989012649"/>
    <s v="GREAT AMERICAN MUSIC HALL"/>
    <n v="1"/>
    <x v="15"/>
  </r>
  <r>
    <d v="2025-02-13T00:00:00"/>
    <s v="9989012649"/>
    <s v="GREAT AMERICAN MUSIC HALL"/>
    <n v="1"/>
    <x v="19"/>
  </r>
  <r>
    <d v="2025-02-13T00:00:00"/>
    <s v="9989012649"/>
    <s v="GREAT AMERICAN MUSIC HALL"/>
    <n v="1"/>
    <x v="22"/>
  </r>
  <r>
    <d v="2025-02-13T00:00:00"/>
    <s v="9989012650"/>
    <s v="STARBIRD CHICKEN - SAN JOSE"/>
    <n v="1"/>
    <x v="15"/>
  </r>
  <r>
    <d v="2025-02-13T00:00:00"/>
    <s v="9989012650"/>
    <s v="STARBIRD CHICKEN - SAN JOSE"/>
    <n v="1"/>
    <x v="8"/>
  </r>
  <r>
    <d v="2025-02-13T00:00:00"/>
    <s v="9989012650"/>
    <s v="STARBIRD CHICKEN - SAN JOSE"/>
    <n v="1"/>
    <x v="23"/>
  </r>
  <r>
    <d v="2025-02-13T00:00:00"/>
    <s v="9989012650"/>
    <s v="STARBIRD CHICKEN - SAN JOSE"/>
    <n v="1"/>
    <x v="11"/>
  </r>
  <r>
    <d v="2025-02-13T00:00:00"/>
    <s v="9989012650"/>
    <s v="STARBIRD CHICKEN - SAN JOSE"/>
    <n v="1"/>
    <x v="1"/>
  </r>
  <r>
    <d v="2025-02-13T00:00:00"/>
    <s v="9989012650"/>
    <s v="STARBIRD CHICKEN - SAN JOSE"/>
    <n v="1"/>
    <x v="3"/>
  </r>
  <r>
    <d v="2025-02-13T00:00:00"/>
    <s v="9989012650"/>
    <s v="STARBIRD CHICKEN - SAN JOSE"/>
    <n v="1"/>
    <x v="4"/>
  </r>
  <r>
    <d v="2025-02-13T00:00:00"/>
    <s v="9989012651"/>
    <s v="MONROE"/>
    <n v="2"/>
    <x v="14"/>
  </r>
  <r>
    <d v="2025-02-13T00:00:00"/>
    <s v="9989012651"/>
    <s v="MONROE"/>
    <n v="2"/>
    <x v="21"/>
  </r>
  <r>
    <d v="2025-02-13T00:00:00"/>
    <s v="9989012651"/>
    <s v="MONROE"/>
    <n v="1"/>
    <x v="8"/>
  </r>
  <r>
    <d v="2025-02-13T00:00:00"/>
    <s v="9989012651"/>
    <s v="MONROE"/>
    <n v="1"/>
    <x v="19"/>
  </r>
  <r>
    <d v="2025-02-13T00:00:00"/>
    <s v="9989012651"/>
    <s v="MONROE"/>
    <n v="1"/>
    <x v="28"/>
  </r>
  <r>
    <d v="2025-02-13T00:00:00"/>
    <s v="9989012651"/>
    <s v="MONROE"/>
    <n v="1"/>
    <x v="22"/>
  </r>
  <r>
    <d v="2025-02-13T00:00:00"/>
    <s v="9989012652"/>
    <s v="RENEGADES"/>
    <n v="2"/>
    <x v="26"/>
  </r>
  <r>
    <d v="2025-02-13T00:00:00"/>
    <s v="9989012652"/>
    <s v="RENEGADES"/>
    <n v="1"/>
    <x v="14"/>
  </r>
  <r>
    <d v="2025-02-13T00:00:00"/>
    <s v="9989012653"/>
    <s v="THE MELT (DEL MAR)"/>
    <n v="2"/>
    <x v="16"/>
  </r>
  <r>
    <d v="2025-02-13T00:00:00"/>
    <s v="9989012653"/>
    <s v="THE MELT (DEL MAR)"/>
    <n v="3"/>
    <x v="8"/>
  </r>
  <r>
    <d v="2025-02-13T00:00:00"/>
    <s v="9989012653"/>
    <s v="THE MELT (DEL MAR)"/>
    <n v="1"/>
    <x v="15"/>
  </r>
  <r>
    <d v="2025-02-13T00:00:00"/>
    <s v="9989012653"/>
    <s v="THE MELT (DEL MAR)"/>
    <n v="1"/>
    <x v="12"/>
  </r>
  <r>
    <d v="2025-02-13T00:00:00"/>
    <s v="9989012653"/>
    <s v="THE MELT (DEL MAR)"/>
    <n v="2"/>
    <x v="9"/>
  </r>
  <r>
    <d v="2025-02-13T00:00:00"/>
    <s v="9989012653"/>
    <s v="THE MELT (DEL MAR)"/>
    <n v="2"/>
    <x v="5"/>
  </r>
  <r>
    <d v="2025-02-13T00:00:00"/>
    <s v="9989012653"/>
    <s v="THE MELT (DEL MAR)"/>
    <n v="2"/>
    <x v="10"/>
  </r>
  <r>
    <d v="2025-02-13T00:00:00"/>
    <s v="9989012654"/>
    <s v="THE MELT (LA JOLLA)"/>
    <n v="1"/>
    <x v="16"/>
  </r>
  <r>
    <d v="2025-02-13T00:00:00"/>
    <s v="9989012654"/>
    <s v="THE MELT (LA JOLLA)"/>
    <n v="2"/>
    <x v="8"/>
  </r>
  <r>
    <d v="2025-02-13T00:00:00"/>
    <s v="9989012654"/>
    <s v="THE MELT (LA JOLLA)"/>
    <n v="1"/>
    <x v="15"/>
  </r>
  <r>
    <d v="2025-02-13T00:00:00"/>
    <s v="9989012654"/>
    <s v="THE MELT (LA JOLLA)"/>
    <n v="1"/>
    <x v="10"/>
  </r>
  <r>
    <d v="2025-02-13T00:00:00"/>
    <s v="9989012654"/>
    <s v="THE MELT (LA JOLLA)"/>
    <n v="1"/>
    <x v="12"/>
  </r>
  <r>
    <d v="2025-02-13T00:00:00"/>
    <s v="9989012654"/>
    <s v="THE MELT (LA JOLLA)"/>
    <n v="1"/>
    <x v="9"/>
  </r>
  <r>
    <d v="2025-02-13T00:00:00"/>
    <s v="9989012654"/>
    <s v="THE MELT (LA JOLLA)"/>
    <n v="2"/>
    <x v="5"/>
  </r>
  <r>
    <d v="2025-02-13T00:00:00"/>
    <s v="9989012655"/>
    <s v="THE MELT (GAS LAMP SAN DIEGO)"/>
    <n v="2"/>
    <x v="16"/>
  </r>
  <r>
    <d v="2025-02-13T00:00:00"/>
    <s v="9989012655"/>
    <s v="THE MELT (GAS LAMP SAN DIEGO)"/>
    <n v="2"/>
    <x v="8"/>
  </r>
  <r>
    <d v="2025-02-13T00:00:00"/>
    <s v="9989012655"/>
    <s v="THE MELT (GAS LAMP SAN DIEGO)"/>
    <n v="1"/>
    <x v="10"/>
  </r>
  <r>
    <d v="2025-02-13T00:00:00"/>
    <s v="9989012655"/>
    <s v="THE MELT (GAS LAMP SAN DIEGO)"/>
    <n v="1"/>
    <x v="12"/>
  </r>
  <r>
    <d v="2025-02-13T00:00:00"/>
    <s v="9989012655"/>
    <s v="THE MELT (GAS LAMP SAN DIEGO)"/>
    <n v="2"/>
    <x v="5"/>
  </r>
  <r>
    <d v="2025-02-13T00:00:00"/>
    <s v="9989012657"/>
    <s v="THE TEMPLE BAR"/>
    <n v="2"/>
    <x v="22"/>
  </r>
  <r>
    <d v="2025-02-13T00:00:00"/>
    <s v="9989012658"/>
    <s v="STRAITS SANTANA ROW"/>
    <n v="1"/>
    <x v="15"/>
  </r>
  <r>
    <d v="2025-02-13T00:00:00"/>
    <s v="9989012658"/>
    <s v="STRAITS SANTANA ROW"/>
    <n v="1"/>
    <x v="12"/>
  </r>
  <r>
    <d v="2025-02-13T00:00:00"/>
    <s v="9989012658"/>
    <s v="STRAITS SANTANA ROW"/>
    <n v="1"/>
    <x v="24"/>
  </r>
  <r>
    <d v="2025-02-13T00:00:00"/>
    <s v="9989012658"/>
    <s v="STRAITS SANTANA ROW"/>
    <n v="2"/>
    <x v="28"/>
  </r>
  <r>
    <d v="2025-02-13T00:00:00"/>
    <s v="9989012659"/>
    <s v="MIAMI BEACH CLUB (GIANT III ENTERTAINMENT LLC)"/>
    <n v="1"/>
    <x v="12"/>
  </r>
  <r>
    <d v="2025-02-13T00:00:00"/>
    <s v="9989012659"/>
    <s v="MIAMI BEACH CLUB (GIANT III ENTERTAINMENT LLC)"/>
    <n v="1"/>
    <x v="18"/>
  </r>
  <r>
    <d v="2025-02-13T00:00:00"/>
    <s v="9989012659"/>
    <s v="MIAMI BEACH CLUB (GIANT III ENTERTAINMENT LLC)"/>
    <n v="1"/>
    <x v="28"/>
  </r>
  <r>
    <d v="2025-02-13T00:00:00"/>
    <s v="9989012659"/>
    <s v="MIAMI BEACH CLUB (GIANT III ENTERTAINMENT LLC)"/>
    <n v="1"/>
    <x v="14"/>
  </r>
  <r>
    <d v="2025-02-13T00:00:00"/>
    <s v="9989012659"/>
    <s v="MIAMI BEACH CLUB (GIANT III ENTERTAINMENT LLC)"/>
    <n v="2"/>
    <x v="22"/>
  </r>
  <r>
    <d v="2025-02-13T00:00:00"/>
    <s v="9989012660"/>
    <s v="STARBIRD CHICKEN - PALO ALTO"/>
    <n v="1"/>
    <x v="10"/>
  </r>
  <r>
    <d v="2025-02-13T00:00:00"/>
    <s v="9989012661"/>
    <s v="JOHNSTONS SALTBOX"/>
    <n v="1"/>
    <x v="10"/>
  </r>
  <r>
    <d v="2025-02-13T00:00:00"/>
    <s v="9989012662"/>
    <s v="THE MELT (SANTA CLARA 0045)"/>
    <n v="2"/>
    <x v="16"/>
  </r>
  <r>
    <d v="2025-02-13T00:00:00"/>
    <s v="9989012662"/>
    <s v="THE MELT (SANTA CLARA 0045)"/>
    <n v="2"/>
    <x v="8"/>
  </r>
  <r>
    <d v="2025-02-13T00:00:00"/>
    <s v="9989012662"/>
    <s v="THE MELT (SANTA CLARA 0045)"/>
    <n v="1"/>
    <x v="15"/>
  </r>
  <r>
    <d v="2025-02-13T00:00:00"/>
    <s v="9989012662"/>
    <s v="THE MELT (SANTA CLARA 0045)"/>
    <n v="1"/>
    <x v="10"/>
  </r>
  <r>
    <d v="2025-02-13T00:00:00"/>
    <s v="9989012662"/>
    <s v="THE MELT (SANTA CLARA 0045)"/>
    <n v="2"/>
    <x v="12"/>
  </r>
  <r>
    <d v="2025-02-13T00:00:00"/>
    <s v="9989012662"/>
    <s v="THE MELT (SANTA CLARA 0045)"/>
    <n v="1"/>
    <x v="9"/>
  </r>
  <r>
    <d v="2025-02-13T00:00:00"/>
    <s v="9989012662"/>
    <s v="THE MELT (SANTA CLARA 0045)"/>
    <n v="2"/>
    <x v="5"/>
  </r>
  <r>
    <d v="2025-02-13T00:00:00"/>
    <s v="9989012663"/>
    <s v="PIZZERIA PAPPO"/>
    <n v="2"/>
    <x v="1"/>
  </r>
  <r>
    <d v="2025-02-13T00:00:00"/>
    <s v="9989012663"/>
    <s v="PIZZERIA PAPPO"/>
    <n v="2"/>
    <x v="11"/>
  </r>
  <r>
    <d v="2025-02-13T00:00:00"/>
    <s v="9989012663"/>
    <s v="PIZZERIA PAPPO"/>
    <n v="2"/>
    <x v="3"/>
  </r>
  <r>
    <d v="2025-02-13T00:00:00"/>
    <s v="9989012663"/>
    <s v="PIZZERIA PAPPO"/>
    <n v="2"/>
    <x v="4"/>
  </r>
  <r>
    <d v="2025-02-13T00:00:00"/>
    <s v="9989012663"/>
    <s v="PIZZERIA PAPPO"/>
    <n v="2"/>
    <x v="2"/>
  </r>
  <r>
    <d v="2025-02-13T00:00:00"/>
    <s v="9989012664"/>
    <s v="STARBIRD CHICKEN-CUPERTINO"/>
    <n v="2"/>
    <x v="8"/>
  </r>
  <r>
    <d v="2025-02-13T00:00:00"/>
    <s v="9989012664"/>
    <s v="STARBIRD CHICKEN-CUPERTINO"/>
    <n v="1"/>
    <x v="15"/>
  </r>
  <r>
    <d v="2025-02-13T00:00:00"/>
    <s v="9989012664"/>
    <s v="STARBIRD CHICKEN-CUPERTINO"/>
    <n v="1"/>
    <x v="12"/>
  </r>
  <r>
    <d v="2025-02-13T00:00:00"/>
    <s v="9989012664"/>
    <s v="STARBIRD CHICKEN-CUPERTINO"/>
    <n v="1"/>
    <x v="5"/>
  </r>
  <r>
    <d v="2025-02-13T00:00:00"/>
    <s v="9989012664"/>
    <s v="STARBIRD CHICKEN-CUPERTINO"/>
    <n v="1"/>
    <x v="17"/>
  </r>
  <r>
    <d v="2025-02-13T00:00:00"/>
    <s v="9989012664"/>
    <s v="STARBIRD CHICKEN-CUPERTINO"/>
    <n v="2"/>
    <x v="23"/>
  </r>
  <r>
    <d v="2025-02-13T00:00:00"/>
    <s v="9989012664"/>
    <s v="STARBIRD CHICKEN-CUPERTINO"/>
    <n v="2"/>
    <x v="11"/>
  </r>
  <r>
    <d v="2025-02-13T00:00:00"/>
    <s v="9989012664"/>
    <s v="STARBIRD CHICKEN-CUPERTINO"/>
    <n v="4"/>
    <x v="4"/>
  </r>
  <r>
    <d v="2025-02-13T00:00:00"/>
    <s v="9989012665"/>
    <s v="BRONCO BILLY'S PIZZA PALACE FREMONT NILES"/>
    <n v="4"/>
    <x v="13"/>
  </r>
  <r>
    <d v="2025-02-13T00:00:00"/>
    <s v="9989012665"/>
    <s v="BRONCO BILLY'S PIZZA PALACE FREMONT NILES"/>
    <n v="1"/>
    <x v="27"/>
  </r>
  <r>
    <d v="2025-02-13T00:00:00"/>
    <s v="9989012665"/>
    <s v="BRONCO BILLY'S PIZZA PALACE FREMONT NILES"/>
    <n v="2"/>
    <x v="5"/>
  </r>
  <r>
    <d v="2025-02-13T00:00:00"/>
    <s v="9989012665"/>
    <s v="BRONCO BILLY'S PIZZA PALACE FREMONT NILES"/>
    <n v="1"/>
    <x v="7"/>
  </r>
  <r>
    <d v="2025-02-13T00:00:00"/>
    <s v="9989012656"/>
    <s v="THE LIBERTIES BAR"/>
    <n v="1"/>
    <x v="24"/>
  </r>
  <r>
    <d v="2025-02-13T00:00:00"/>
    <s v="9989012656"/>
    <s v="THE LIBERTIES BAR"/>
    <n v="1"/>
    <x v="18"/>
  </r>
  <r>
    <d v="2025-02-13T00:00:00"/>
    <s v="9989012656"/>
    <s v="THE LIBERTIES BAR"/>
    <n v="1"/>
    <x v="10"/>
  </r>
  <r>
    <d v="2025-02-14T00:00:00"/>
    <s v="9989012670"/>
    <s v="STARBIRD CHICKEN - CORTE MADERA"/>
    <n v="1"/>
    <x v="8"/>
  </r>
  <r>
    <d v="2025-02-14T00:00:00"/>
    <s v="9989012670"/>
    <s v="STARBIRD CHICKEN - CORTE MADERA"/>
    <n v="1"/>
    <x v="12"/>
  </r>
  <r>
    <d v="2025-02-14T00:00:00"/>
    <s v="9989012670"/>
    <s v="STARBIRD CHICKEN - CORTE MADERA"/>
    <n v="1"/>
    <x v="5"/>
  </r>
  <r>
    <d v="2025-02-14T00:00:00"/>
    <s v="9989012670"/>
    <s v="STARBIRD CHICKEN - CORTE MADERA"/>
    <n v="1"/>
    <x v="17"/>
  </r>
  <r>
    <d v="2025-02-14T00:00:00"/>
    <s v="9989012670"/>
    <s v="STARBIRD CHICKEN - CORTE MADERA"/>
    <n v="1"/>
    <x v="23"/>
  </r>
  <r>
    <d v="2025-02-14T00:00:00"/>
    <s v="9989012670"/>
    <s v="STARBIRD CHICKEN - CORTE MADERA"/>
    <n v="1"/>
    <x v="10"/>
  </r>
  <r>
    <d v="2025-02-14T00:00:00"/>
    <s v="9989012670"/>
    <s v="STARBIRD CHICKEN - CORTE MADERA"/>
    <n v="1"/>
    <x v="1"/>
  </r>
  <r>
    <d v="2025-02-14T00:00:00"/>
    <s v="9989012670"/>
    <s v="STARBIRD CHICKEN - CORTE MADERA"/>
    <n v="1"/>
    <x v="4"/>
  </r>
  <r>
    <d v="2025-02-14T00:00:00"/>
    <s v="9989012670"/>
    <s v="STARBIRD CHICKEN - CORTE MADERA"/>
    <n v="1"/>
    <x v="3"/>
  </r>
  <r>
    <d v="2025-02-14T00:00:00"/>
    <s v="9989012671"/>
    <s v="TOP DOG #1 DUR"/>
    <n v="1"/>
    <x v="26"/>
  </r>
  <r>
    <d v="2025-02-14T00:00:00"/>
    <s v="9989012671"/>
    <s v="TOP DOG #1 DUR"/>
    <n v="1"/>
    <x v="13"/>
  </r>
  <r>
    <d v="2025-02-14T00:00:00"/>
    <s v="9989012671"/>
    <s v="TOP DOG #1 DUR"/>
    <n v="1"/>
    <x v="7"/>
  </r>
  <r>
    <d v="2025-02-14T00:00:00"/>
    <s v="9989012672"/>
    <s v="THE MELT (IRVINE SPECTRUM)"/>
    <n v="3"/>
    <x v="16"/>
  </r>
  <r>
    <d v="2025-02-14T00:00:00"/>
    <s v="9989012672"/>
    <s v="THE MELT (IRVINE SPECTRUM)"/>
    <n v="3"/>
    <x v="8"/>
  </r>
  <r>
    <d v="2025-02-14T00:00:00"/>
    <s v="9989012672"/>
    <s v="THE MELT (IRVINE SPECTRUM)"/>
    <n v="2"/>
    <x v="15"/>
  </r>
  <r>
    <d v="2025-02-14T00:00:00"/>
    <s v="9989012672"/>
    <s v="THE MELT (IRVINE SPECTRUM)"/>
    <n v="1"/>
    <x v="12"/>
  </r>
  <r>
    <d v="2025-02-14T00:00:00"/>
    <s v="9989012672"/>
    <s v="THE MELT (IRVINE SPECTRUM)"/>
    <n v="1"/>
    <x v="9"/>
  </r>
  <r>
    <d v="2025-02-14T00:00:00"/>
    <s v="9989012673"/>
    <s v="HOMETOWN HEROES -SSF"/>
    <n v="1"/>
    <x v="10"/>
  </r>
  <r>
    <d v="2025-02-14T00:00:00"/>
    <s v="9989012674"/>
    <s v="TRIPLE ROCK BREWING COMPANY"/>
    <n v="1"/>
    <x v="8"/>
  </r>
  <r>
    <d v="2025-02-14T00:00:00"/>
    <s v="9989012674"/>
    <s v="TRIPLE ROCK BREWING COMPANY"/>
    <n v="1"/>
    <x v="15"/>
  </r>
  <r>
    <d v="2025-02-14T00:00:00"/>
    <s v="9989012674"/>
    <s v="TRIPLE ROCK BREWING COMPANY"/>
    <n v="1"/>
    <x v="24"/>
  </r>
  <r>
    <d v="2025-02-14T00:00:00"/>
    <s v="9989012674"/>
    <s v="TRIPLE ROCK BREWING COMPANY"/>
    <n v="1"/>
    <x v="7"/>
  </r>
  <r>
    <d v="2025-02-14T00:00:00"/>
    <s v="9989012674"/>
    <s v="TRIPLE ROCK BREWING COMPANY"/>
    <n v="1"/>
    <x v="5"/>
  </r>
  <r>
    <d v="2025-02-14T00:00:00"/>
    <s v="9989012674"/>
    <s v="TRIPLE ROCK BREWING COMPANY"/>
    <n v="2"/>
    <x v="10"/>
  </r>
  <r>
    <d v="2025-02-14T00:00:00"/>
    <s v="9989012675"/>
    <s v="BEN N' NICKS BAR AND GRILL"/>
    <n v="1"/>
    <x v="13"/>
  </r>
  <r>
    <d v="2025-02-14T00:00:00"/>
    <s v="9989012675"/>
    <s v="BEN N' NICKS BAR AND GRILL"/>
    <n v="1"/>
    <x v="26"/>
  </r>
  <r>
    <d v="2025-02-14T00:00:00"/>
    <s v="9989012675"/>
    <s v="BEN N' NICKS BAR AND GRILL"/>
    <n v="1"/>
    <x v="9"/>
  </r>
  <r>
    <d v="2025-02-14T00:00:00"/>
    <s v="9989012675"/>
    <s v="BEN N' NICKS BAR AND GRILL"/>
    <n v="1"/>
    <x v="10"/>
  </r>
  <r>
    <d v="2025-02-14T00:00:00"/>
    <s v="9989012676"/>
    <s v="SIDESTREET PHO"/>
    <n v="1"/>
    <x v="12"/>
  </r>
  <r>
    <d v="2025-02-14T00:00:00"/>
    <s v="9989012676"/>
    <s v="SIDESTREET PHO"/>
    <n v="1"/>
    <x v="29"/>
  </r>
  <r>
    <d v="2025-02-14T00:00:00"/>
    <s v="9989012676"/>
    <s v="SIDESTREET PHO"/>
    <n v="1"/>
    <x v="5"/>
  </r>
  <r>
    <d v="2025-02-14T00:00:00"/>
    <s v="9989012677"/>
    <s v="HEART AND DAGGER SALOON"/>
    <n v="1"/>
    <x v="12"/>
  </r>
  <r>
    <d v="2025-02-14T00:00:00"/>
    <s v="9989012677"/>
    <s v="HEART AND DAGGER SALOON"/>
    <n v="1"/>
    <x v="7"/>
  </r>
  <r>
    <d v="2025-02-14T00:00:00"/>
    <s v="9989012677"/>
    <s v="HEART AND DAGGER SALOON"/>
    <n v="1"/>
    <x v="18"/>
  </r>
  <r>
    <d v="2025-02-14T00:00:00"/>
    <s v="9989012677"/>
    <s v="HEART AND DAGGER SALOON"/>
    <n v="1"/>
    <x v="10"/>
  </r>
  <r>
    <d v="2025-02-14T00:00:00"/>
    <s v="9989012678"/>
    <s v="GOLD RUSH EATERY"/>
    <n v="2"/>
    <x v="13"/>
  </r>
  <r>
    <d v="2025-02-14T00:00:00"/>
    <s v="9989012678"/>
    <s v="GOLD RUSH EATERY"/>
    <n v="1"/>
    <x v="7"/>
  </r>
  <r>
    <d v="2025-02-14T00:00:00"/>
    <s v="9989012678"/>
    <s v="GOLD RUSH EATERY"/>
    <n v="2"/>
    <x v="17"/>
  </r>
  <r>
    <d v="2025-02-14T00:00:00"/>
    <s v="9989012678"/>
    <s v="GOLD RUSH EATERY"/>
    <n v="1"/>
    <x v="24"/>
  </r>
  <r>
    <d v="2025-02-14T00:00:00"/>
    <s v="9989012678"/>
    <s v="GOLD RUSH EATERY"/>
    <n v="2"/>
    <x v="3"/>
  </r>
  <r>
    <d v="2025-02-14T00:00:00"/>
    <s v="9989012678"/>
    <s v="GOLD RUSH EATERY"/>
    <n v="2"/>
    <x v="4"/>
  </r>
  <r>
    <d v="2025-02-14T00:00:00"/>
    <s v="9989012678"/>
    <s v="GOLD RUSH EATERY"/>
    <n v="1"/>
    <x v="1"/>
  </r>
  <r>
    <d v="2025-02-14T00:00:00"/>
    <s v="9989012679"/>
    <s v="BLUE LAGOON"/>
    <n v="1"/>
    <x v="19"/>
  </r>
  <r>
    <d v="2025-02-14T00:00:00"/>
    <s v="9989012679"/>
    <s v="BLUE LAGOON"/>
    <n v="1"/>
    <x v="10"/>
  </r>
  <r>
    <d v="2025-02-14T00:00:00"/>
    <s v="9989012679"/>
    <s v="BLUE LAGOON"/>
    <n v="1"/>
    <x v="21"/>
  </r>
  <r>
    <d v="2025-02-14T00:00:00"/>
    <s v="9989012679"/>
    <s v="BLUE LAGOON"/>
    <n v="1"/>
    <x v="28"/>
  </r>
  <r>
    <d v="2025-02-14T00:00:00"/>
    <s v="9989012680"/>
    <s v="LAS PALMAS"/>
    <n v="1"/>
    <x v="5"/>
  </r>
  <r>
    <d v="2025-02-14T00:00:00"/>
    <s v="9989012680"/>
    <s v="LAS PALMAS"/>
    <n v="1"/>
    <x v="6"/>
  </r>
  <r>
    <d v="2025-02-14T00:00:00"/>
    <s v="9989012680"/>
    <s v="LAS PALMAS"/>
    <n v="1"/>
    <x v="9"/>
  </r>
  <r>
    <d v="2025-02-14T00:00:00"/>
    <s v="9989012681"/>
    <s v="THE JURY ROOM"/>
    <n v="2"/>
    <x v="8"/>
  </r>
  <r>
    <d v="2025-02-14T00:00:00"/>
    <s v="9989012681"/>
    <s v="THE JURY ROOM"/>
    <n v="1"/>
    <x v="12"/>
  </r>
  <r>
    <d v="2025-02-14T00:00:00"/>
    <s v="9989012681"/>
    <s v="THE JURY ROOM"/>
    <n v="1"/>
    <x v="14"/>
  </r>
  <r>
    <d v="2025-02-14T00:00:00"/>
    <s v="9989012681"/>
    <s v="THE JURY ROOM"/>
    <n v="1"/>
    <x v="21"/>
  </r>
  <r>
    <d v="2025-02-14T00:00:00"/>
    <s v="9989012681"/>
    <s v="THE JURY ROOM"/>
    <n v="1"/>
    <x v="37"/>
  </r>
  <r>
    <d v="2025-02-14T00:00:00"/>
    <s v="9989012682"/>
    <s v="CHABOT THEATER"/>
    <n v="3"/>
    <x v="8"/>
  </r>
  <r>
    <d v="2025-02-14T00:00:00"/>
    <s v="9989012684"/>
    <s v="PHILS FISH MARKET"/>
    <n v="1"/>
    <x v="13"/>
  </r>
  <r>
    <d v="2025-02-14T00:00:00"/>
    <s v="9989012684"/>
    <s v="PHILS FISH MARKET"/>
    <n v="3"/>
    <x v="26"/>
  </r>
  <r>
    <d v="2025-02-14T00:00:00"/>
    <s v="9989012684"/>
    <s v="PHILS FISH MARKET"/>
    <n v="2"/>
    <x v="19"/>
  </r>
  <r>
    <d v="2025-02-14T00:00:00"/>
    <s v="9989012684"/>
    <s v="PHILS FISH MARKET"/>
    <n v="4"/>
    <x v="5"/>
  </r>
  <r>
    <d v="2025-02-14T00:00:00"/>
    <s v="9989012684"/>
    <s v="PHILS FISH MARKET"/>
    <n v="3"/>
    <x v="27"/>
  </r>
  <r>
    <d v="2025-02-14T00:00:00"/>
    <s v="9989012684"/>
    <s v="PHILS FISH MARKET"/>
    <n v="3"/>
    <x v="13"/>
  </r>
  <r>
    <d v="2025-02-15T00:00:00"/>
    <s v="9989012685"/>
    <s v="SLICE HOUSE"/>
    <n v="1"/>
    <x v="8"/>
  </r>
  <r>
    <d v="2025-02-15T00:00:00"/>
    <s v="9989012685"/>
    <s v="SLICE HOUSE"/>
    <n v="2"/>
    <x v="5"/>
  </r>
  <r>
    <d v="2025-02-17T00:00:00"/>
    <s v="9989012686"/>
    <s v="TOWN BAR &amp; LOUNGE"/>
    <n v="2"/>
    <x v="10"/>
  </r>
  <r>
    <d v="2025-02-17T00:00:00"/>
    <s v="9989012686"/>
    <s v="TOWN BAR &amp; LOUNGE"/>
    <n v="1"/>
    <x v="8"/>
  </r>
  <r>
    <d v="2025-02-17T00:00:00"/>
    <s v="9989012686"/>
    <s v="TOWN BAR &amp; LOUNGE"/>
    <n v="1"/>
    <x v="18"/>
  </r>
  <r>
    <d v="2025-02-18T00:00:00"/>
    <s v="9989012687"/>
    <s v="FIREBRAND-ALAMEDA"/>
    <n v="3"/>
    <x v="4"/>
  </r>
  <r>
    <d v="2025-02-18T00:00:00"/>
    <s v="9989012687"/>
    <s v="FIREBRAND-ALAMEDA"/>
    <n v="3"/>
    <x v="2"/>
  </r>
  <r>
    <d v="2025-02-18T00:00:00"/>
    <s v="9989012687"/>
    <s v="FIREBRAND-ALAMEDA"/>
    <n v="2"/>
    <x v="0"/>
  </r>
  <r>
    <d v="2025-02-18T00:00:00"/>
    <s v="9989012687"/>
    <s v="FIREBRAND-ALAMEDA"/>
    <n v="2"/>
    <x v="3"/>
  </r>
  <r>
    <d v="2025-02-18T00:00:00"/>
    <s v="9989012688"/>
    <s v="ALMANAC"/>
    <n v="8"/>
    <x v="1"/>
  </r>
  <r>
    <d v="2025-02-18T00:00:00"/>
    <s v="9989012688"/>
    <s v="ALMANAC"/>
    <n v="4"/>
    <x v="11"/>
  </r>
  <r>
    <d v="2025-02-18T00:00:00"/>
    <s v="9989012688"/>
    <s v="ALMANAC"/>
    <n v="8"/>
    <x v="4"/>
  </r>
  <r>
    <d v="2025-02-18T00:00:00"/>
    <s v="9989012688"/>
    <s v="ALMANAC"/>
    <n v="5"/>
    <x v="0"/>
  </r>
  <r>
    <d v="2025-02-18T00:00:00"/>
    <s v="9989012688"/>
    <s v="ALMANAC"/>
    <n v="5"/>
    <x v="3"/>
  </r>
  <r>
    <d v="2025-02-18T00:00:00"/>
    <s v="9989012688"/>
    <s v="ALMANAC"/>
    <n v="4"/>
    <x v="2"/>
  </r>
  <r>
    <d v="2025-02-18T00:00:00"/>
    <s v="9989012689"/>
    <s v="EAST BAY NATURAL GROCERY"/>
    <n v="2"/>
    <x v="11"/>
  </r>
  <r>
    <d v="2025-02-18T00:00:00"/>
    <s v="9989012689"/>
    <s v="EAST BAY NATURAL GROCERY"/>
    <n v="3"/>
    <x v="1"/>
  </r>
  <r>
    <d v="2025-02-18T00:00:00"/>
    <s v="9989012689"/>
    <s v="EAST BAY NATURAL GROCERY"/>
    <n v="3"/>
    <x v="4"/>
  </r>
  <r>
    <d v="2025-02-18T00:00:00"/>
    <s v="9989012689"/>
    <s v="EAST BAY NATURAL GROCERY"/>
    <n v="2"/>
    <x v="3"/>
  </r>
  <r>
    <d v="2025-02-18T00:00:00"/>
    <s v="9989012689"/>
    <s v="EAST BAY NATURAL GROCERY"/>
    <n v="2"/>
    <x v="2"/>
  </r>
  <r>
    <d v="2025-02-18T00:00:00"/>
    <s v="9989012689"/>
    <s v="EAST BAY NATURAL GROCERY"/>
    <n v="2"/>
    <x v="0"/>
  </r>
  <r>
    <d v="2025-02-18T00:00:00"/>
    <s v="9989012690"/>
    <s v="PIXAR ANIMATION STUDIOS"/>
    <n v="1"/>
    <x v="5"/>
  </r>
  <r>
    <d v="2025-02-18T00:00:00"/>
    <s v="9989012690"/>
    <s v="PIXAR ANIMATION STUDIOS"/>
    <n v="1"/>
    <x v="15"/>
  </r>
  <r>
    <d v="2025-02-18T00:00:00"/>
    <s v="9989012690"/>
    <s v="PIXAR ANIMATION STUDIOS"/>
    <n v="2"/>
    <x v="7"/>
  </r>
  <r>
    <d v="2025-02-18T00:00:00"/>
    <s v="9989012691"/>
    <s v="THE MELT (455 MARKET)"/>
    <n v="3"/>
    <x v="8"/>
  </r>
  <r>
    <d v="2025-02-18T00:00:00"/>
    <s v="9989012691"/>
    <s v="THE MELT (455 MARKET)"/>
    <n v="2"/>
    <x v="12"/>
  </r>
  <r>
    <d v="2025-02-18T00:00:00"/>
    <s v="9989012691"/>
    <s v="THE MELT (455 MARKET)"/>
    <n v="2"/>
    <x v="5"/>
  </r>
  <r>
    <d v="2025-02-18T00:00:00"/>
    <s v="9989012691"/>
    <s v="THE MELT (455 MARKET)"/>
    <n v="1"/>
    <x v="9"/>
  </r>
  <r>
    <d v="2025-02-18T00:00:00"/>
    <s v="9989012691"/>
    <s v="THE MELT (455 MARKET)"/>
    <n v="1"/>
    <x v="15"/>
  </r>
  <r>
    <d v="2025-02-18T00:00:00"/>
    <s v="9989012692"/>
    <s v="SCOMAS RESTAURANT"/>
    <n v="1"/>
    <x v="8"/>
  </r>
  <r>
    <d v="2025-02-18T00:00:00"/>
    <s v="9989012693"/>
    <s v="THE DEAD FISH"/>
    <n v="1"/>
    <x v="26"/>
  </r>
  <r>
    <d v="2025-02-18T00:00:00"/>
    <s v="9989012693"/>
    <s v="THE DEAD FISH"/>
    <n v="1"/>
    <x v="13"/>
  </r>
  <r>
    <d v="2025-02-18T00:00:00"/>
    <s v="9989012693"/>
    <s v="THE DEAD FISH"/>
    <n v="1"/>
    <x v="27"/>
  </r>
  <r>
    <d v="2025-02-18T00:00:00"/>
    <s v="9989012693"/>
    <s v="THE DEAD FISH"/>
    <n v="2"/>
    <x v="24"/>
  </r>
  <r>
    <d v="2025-02-18T00:00:00"/>
    <s v="9989012693"/>
    <s v="THE DEAD FISH"/>
    <n v="1"/>
    <x v="7"/>
  </r>
  <r>
    <d v="2025-02-18T00:00:00"/>
    <s v="9989012694"/>
    <s v="BALBOA THEATER"/>
    <n v="1"/>
    <x v="13"/>
  </r>
  <r>
    <d v="2025-02-18T00:00:00"/>
    <s v="9989012694"/>
    <s v="BALBOA THEATER"/>
    <n v="1"/>
    <x v="5"/>
  </r>
  <r>
    <d v="2025-02-18T00:00:00"/>
    <s v="9989012694"/>
    <s v="BALBOA THEATER"/>
    <n v="1"/>
    <x v="12"/>
  </r>
  <r>
    <d v="2025-02-18T00:00:00"/>
    <s v="9989012695"/>
    <s v="POINT SAN PABLO YACHT CLUB"/>
    <n v="2"/>
    <x v="8"/>
  </r>
  <r>
    <d v="2025-02-18T00:00:00"/>
    <s v="9989012695"/>
    <s v="POINT SAN PABLO YACHT CLUB"/>
    <n v="1"/>
    <x v="18"/>
  </r>
  <r>
    <d v="2025-02-18T00:00:00"/>
    <s v="9989012696"/>
    <s v="UCSF MEDICAL CENTER PARNASSUS"/>
    <n v="1"/>
    <x v="32"/>
  </r>
  <r>
    <d v="2025-02-18T00:00:00"/>
    <s v="9989012696"/>
    <s v="UCSF MEDICAL CENTER PARNASSUS"/>
    <n v="1"/>
    <x v="26"/>
  </r>
  <r>
    <d v="2025-02-18T00:00:00"/>
    <s v="9989012696"/>
    <s v="UCSF MEDICAL CENTER PARNASSUS"/>
    <n v="1"/>
    <x v="31"/>
  </r>
  <r>
    <d v="2025-02-18T00:00:00"/>
    <s v="9989012696"/>
    <s v="UCSF MEDICAL CENTER PARNASSUS"/>
    <n v="1"/>
    <x v="35"/>
  </r>
  <r>
    <d v="2025-02-18T00:00:00"/>
    <s v="9989012696"/>
    <s v="UCSF MEDICAL CENTER PARNASSUS"/>
    <n v="1"/>
    <x v="34"/>
  </r>
  <r>
    <d v="2025-02-18T00:00:00"/>
    <s v="9989012696"/>
    <s v="UCSF MEDICAL CENTER PARNASSUS"/>
    <n v="1"/>
    <x v="24"/>
  </r>
  <r>
    <d v="2025-02-18T00:00:00"/>
    <s v="9989012696"/>
    <s v="UCSF MEDICAL CENTER PARNASSUS"/>
    <n v="1"/>
    <x v="32"/>
  </r>
  <r>
    <d v="2025-02-18T00:00:00"/>
    <s v="9989012698"/>
    <s v="STARBIRD CHICKEN - HERMOSA BEACH"/>
    <n v="1"/>
    <x v="15"/>
  </r>
  <r>
    <d v="2025-02-18T00:00:00"/>
    <s v="9989012698"/>
    <s v="STARBIRD CHICKEN - HERMOSA BEACH"/>
    <n v="1"/>
    <x v="10"/>
  </r>
  <r>
    <d v="2025-02-18T00:00:00"/>
    <s v="9989012698"/>
    <s v="STARBIRD CHICKEN - HERMOSA BEACH"/>
    <n v="1"/>
    <x v="1"/>
  </r>
  <r>
    <d v="2025-02-18T00:00:00"/>
    <s v="9989012698"/>
    <s v="STARBIRD CHICKEN - HERMOSA BEACH"/>
    <n v="1"/>
    <x v="3"/>
  </r>
  <r>
    <d v="2025-02-18T00:00:00"/>
    <s v="9989012698"/>
    <s v="STARBIRD CHICKEN - HERMOSA BEACH"/>
    <n v="1"/>
    <x v="4"/>
  </r>
  <r>
    <d v="2025-02-18T00:00:00"/>
    <s v="9989012699"/>
    <s v="THE STORK CLUB"/>
    <n v="1"/>
    <x v="18"/>
  </r>
  <r>
    <d v="2025-02-18T00:00:00"/>
    <s v="9989012699"/>
    <s v="THE STORK CLUB"/>
    <n v="1"/>
    <x v="19"/>
  </r>
  <r>
    <d v="2025-02-18T00:00:00"/>
    <s v="9989012700"/>
    <s v="THE NEW PARKWAY"/>
    <n v="3"/>
    <x v="8"/>
  </r>
  <r>
    <d v="2025-02-18T00:00:00"/>
    <s v="9989012700"/>
    <s v="THE NEW PARKWAY"/>
    <n v="2"/>
    <x v="5"/>
  </r>
  <r>
    <d v="2025-02-18T00:00:00"/>
    <s v="9989012700"/>
    <s v="THE NEW PARKWAY"/>
    <n v="1"/>
    <x v="9"/>
  </r>
  <r>
    <d v="2025-02-18T00:00:00"/>
    <s v="9989012701"/>
    <s v="DRAKES DEALERSHIP"/>
    <n v="2"/>
    <x v="10"/>
  </r>
  <r>
    <d v="2025-02-18T00:00:00"/>
    <s v="9989012701"/>
    <s v="DRAKES DEALERSHIP"/>
    <n v="2"/>
    <x v="13"/>
  </r>
  <r>
    <d v="2025-02-18T00:00:00"/>
    <s v="9989012701"/>
    <s v="DRAKES DEALERSHIP"/>
    <n v="1"/>
    <x v="26"/>
  </r>
  <r>
    <d v="2025-02-18T00:00:00"/>
    <s v="9989012702"/>
    <s v="STARBIRD CHICKEN - SOUTH SAN FRANCISCO"/>
    <n v="4"/>
    <x v="8"/>
  </r>
  <r>
    <d v="2025-02-18T00:00:00"/>
    <s v="9989012702"/>
    <s v="STARBIRD CHICKEN - SOUTH SAN FRANCISCO"/>
    <n v="1"/>
    <x v="15"/>
  </r>
  <r>
    <d v="2025-02-18T00:00:00"/>
    <s v="9989012702"/>
    <s v="STARBIRD CHICKEN - SOUTH SAN FRANCISCO"/>
    <n v="1"/>
    <x v="10"/>
  </r>
  <r>
    <d v="2025-02-18T00:00:00"/>
    <s v="9989012702"/>
    <s v="STARBIRD CHICKEN - SOUTH SAN FRANCISCO"/>
    <n v="2"/>
    <x v="17"/>
  </r>
  <r>
    <d v="2025-02-18T00:00:00"/>
    <s v="9989012702"/>
    <s v="STARBIRD CHICKEN - SOUTH SAN FRANCISCO"/>
    <n v="2"/>
    <x v="23"/>
  </r>
  <r>
    <d v="2025-02-18T00:00:00"/>
    <s v="9989012702"/>
    <s v="STARBIRD CHICKEN - SOUTH SAN FRANCISCO"/>
    <n v="1"/>
    <x v="1"/>
  </r>
  <r>
    <d v="2025-02-18T00:00:00"/>
    <s v="9989012702"/>
    <s v="STARBIRD CHICKEN - SOUTH SAN FRANCISCO"/>
    <n v="1"/>
    <x v="4"/>
  </r>
  <r>
    <d v="2025-02-18T00:00:00"/>
    <s v="9989012702"/>
    <s v="STARBIRD CHICKEN - SOUTH SAN FRANCISCO"/>
    <n v="1"/>
    <x v="3"/>
  </r>
  <r>
    <d v="2025-02-18T00:00:00"/>
    <s v="9989012703"/>
    <s v="NEW PARISH BAR"/>
    <n v="2"/>
    <x v="10"/>
  </r>
  <r>
    <d v="2025-02-18T00:00:00"/>
    <s v="9989012703"/>
    <s v="NEW PARISH BAR"/>
    <n v="2"/>
    <x v="28"/>
  </r>
  <r>
    <d v="2025-02-18T00:00:00"/>
    <s v="9989012703"/>
    <s v="NEW PARISH BAR"/>
    <n v="2"/>
    <x v="22"/>
  </r>
  <r>
    <d v="2025-02-18T00:00:00"/>
    <s v="9989012703"/>
    <s v="NEW PARISH BAR"/>
    <n v="1"/>
    <x v="8"/>
  </r>
  <r>
    <d v="2025-02-18T00:00:00"/>
    <s v="9989012703"/>
    <s v="NEW PARISH BAR"/>
    <n v="1"/>
    <x v="9"/>
  </r>
  <r>
    <d v="2025-02-18T00:00:00"/>
    <s v="9989012703"/>
    <s v="NEW PARISH BAR"/>
    <n v="1"/>
    <x v="14"/>
  </r>
  <r>
    <d v="2025-02-18T00:00:00"/>
    <s v="9989012703"/>
    <s v="NEW PARISH BAR"/>
    <n v="1"/>
    <x v="12"/>
  </r>
  <r>
    <d v="2025-02-18T00:00:00"/>
    <s v="9989012704"/>
    <s v="MCNALLY'S"/>
    <n v="1"/>
    <x v="8"/>
  </r>
  <r>
    <d v="2025-02-18T00:00:00"/>
    <s v="9989012704"/>
    <s v="MCNALLY'S"/>
    <n v="1"/>
    <x v="15"/>
  </r>
  <r>
    <d v="2025-02-18T00:00:00"/>
    <s v="9989012704"/>
    <s v="MCNALLY'S"/>
    <n v="1"/>
    <x v="10"/>
  </r>
  <r>
    <d v="2025-02-18T00:00:00"/>
    <s v="9989012705"/>
    <s v="WINTERS TAVERN"/>
    <n v="2"/>
    <x v="8"/>
  </r>
  <r>
    <d v="2025-02-18T00:00:00"/>
    <s v="9989012705"/>
    <s v="WINTERS TAVERN"/>
    <n v="1"/>
    <x v="12"/>
  </r>
  <r>
    <d v="2025-02-18T00:00:00"/>
    <s v="9989012705"/>
    <s v="WINTERS TAVERN"/>
    <n v="1"/>
    <x v="15"/>
  </r>
  <r>
    <d v="2025-02-18T00:00:00"/>
    <s v="9989012705"/>
    <s v="WINTERS TAVERN"/>
    <n v="1"/>
    <x v="19"/>
  </r>
  <r>
    <d v="2025-02-18T00:00:00"/>
    <s v="9989012705"/>
    <s v="WINTERS TAVERN"/>
    <n v="1"/>
    <x v="28"/>
  </r>
  <r>
    <d v="2025-02-18T00:00:00"/>
    <s v="9989012705"/>
    <s v="WINTERS TAVERN"/>
    <n v="1"/>
    <x v="14"/>
  </r>
  <r>
    <d v="2025-02-18T00:00:00"/>
    <s v="9989012705"/>
    <s v="WINTERS TAVERN"/>
    <n v="1"/>
    <x v="18"/>
  </r>
  <r>
    <d v="2025-02-18T00:00:00"/>
    <s v="9989012706"/>
    <s v="STARBIRD CHICKEN - MARINA DEL REY"/>
    <n v="1"/>
    <x v="17"/>
  </r>
  <r>
    <d v="2025-02-18T00:00:00"/>
    <s v="9989012706"/>
    <s v="STARBIRD CHICKEN - MARINA DEL REY"/>
    <n v="1"/>
    <x v="10"/>
  </r>
  <r>
    <d v="2025-02-18T00:00:00"/>
    <s v="9989012706"/>
    <s v="STARBIRD CHICKEN - MARINA DEL REY"/>
    <n v="1"/>
    <x v="15"/>
  </r>
  <r>
    <d v="2025-02-18T00:00:00"/>
    <s v="9989012706"/>
    <s v="STARBIRD CHICKEN - MARINA DEL REY"/>
    <n v="2"/>
    <x v="3"/>
  </r>
  <r>
    <d v="2025-02-18T00:00:00"/>
    <s v="9989012706"/>
    <s v="STARBIRD CHICKEN - MARINA DEL REY"/>
    <n v="2"/>
    <x v="4"/>
  </r>
  <r>
    <d v="2025-02-18T00:00:00"/>
    <s v="9989012706"/>
    <s v="STARBIRD CHICKEN - MARINA DEL REY"/>
    <n v="1"/>
    <x v="1"/>
  </r>
  <r>
    <d v="2025-02-18T00:00:00"/>
    <s v="9989012706"/>
    <s v="STARBIRD CHICKEN - MARINA DEL REY"/>
    <n v="1"/>
    <x v="11"/>
  </r>
  <r>
    <d v="2025-02-18T00:00:00"/>
    <s v="9989012707"/>
    <s v="THE MELT (WEST HOLLYWOOD)"/>
    <n v="1"/>
    <x v="16"/>
  </r>
  <r>
    <d v="2025-02-18T00:00:00"/>
    <s v="9989012707"/>
    <s v="THE MELT (WEST HOLLYWOOD)"/>
    <n v="1"/>
    <x v="8"/>
  </r>
  <r>
    <d v="2025-02-18T00:00:00"/>
    <s v="9989012707"/>
    <s v="THE MELT (WEST HOLLYWOOD)"/>
    <n v="1"/>
    <x v="15"/>
  </r>
  <r>
    <d v="2025-02-18T00:00:00"/>
    <s v="9989012707"/>
    <s v="THE MELT (WEST HOLLYWOOD)"/>
    <n v="1"/>
    <x v="5"/>
  </r>
  <r>
    <d v="2025-02-19T00:00:00"/>
    <s v="9989012708"/>
    <s v="STARBIRD - TASTES ON THE FLY SF"/>
    <n v="2"/>
    <x v="8"/>
  </r>
  <r>
    <d v="2025-02-19T00:00:00"/>
    <s v="9989012708"/>
    <s v="STARBIRD - TASTES ON THE FLY SF"/>
    <n v="3"/>
    <x v="15"/>
  </r>
  <r>
    <d v="2025-02-19T00:00:00"/>
    <s v="9989012708"/>
    <s v="STARBIRD - TASTES ON THE FLY SF"/>
    <n v="2"/>
    <x v="5"/>
  </r>
  <r>
    <d v="2025-02-19T00:00:00"/>
    <s v="9989012708"/>
    <s v="STARBIRD - TASTES ON THE FLY SF"/>
    <n v="1"/>
    <x v="9"/>
  </r>
  <r>
    <d v="2025-02-19T00:00:00"/>
    <s v="9989012708"/>
    <s v="STARBIRD - TASTES ON THE FLY SF"/>
    <n v="1"/>
    <x v="10"/>
  </r>
  <r>
    <d v="2025-02-19T00:00:00"/>
    <s v="9989012709"/>
    <s v="FIDDLERS GREEN"/>
    <n v="1"/>
    <x v="8"/>
  </r>
  <r>
    <d v="2025-02-19T00:00:00"/>
    <s v="9989012709"/>
    <s v="FIDDLERS GREEN"/>
    <n v="1"/>
    <x v="15"/>
  </r>
  <r>
    <d v="2025-02-19T00:00:00"/>
    <s v="9989012709"/>
    <s v="FIDDLERS GREEN"/>
    <n v="1"/>
    <x v="12"/>
  </r>
  <r>
    <d v="2025-02-19T00:00:00"/>
    <s v="9989012709"/>
    <s v="FIDDLERS GREEN"/>
    <n v="1"/>
    <x v="24"/>
  </r>
  <r>
    <d v="2025-02-19T00:00:00"/>
    <s v="9989012710"/>
    <s v="DIABLO FOODS"/>
    <n v="1"/>
    <x v="11"/>
  </r>
  <r>
    <d v="2025-02-19T00:00:00"/>
    <s v="9989012710"/>
    <s v="DIABLO FOODS"/>
    <n v="1"/>
    <x v="1"/>
  </r>
  <r>
    <d v="2025-02-19T00:00:00"/>
    <s v="9989012710"/>
    <s v="DIABLO FOODS"/>
    <n v="1"/>
    <x v="3"/>
  </r>
  <r>
    <d v="2025-02-19T00:00:00"/>
    <s v="9989012710"/>
    <s v="DIABLO FOODS"/>
    <n v="1"/>
    <x v="4"/>
  </r>
  <r>
    <d v="2025-02-19T00:00:00"/>
    <s v="9989012710"/>
    <s v="DIABLO FOODS"/>
    <n v="1"/>
    <x v="0"/>
  </r>
  <r>
    <d v="2025-02-19T00:00:00"/>
    <s v="9989012711"/>
    <s v="SWINGIN DOOR (WARAC CORP)"/>
    <n v="2"/>
    <x v="14"/>
  </r>
  <r>
    <d v="2025-02-19T00:00:00"/>
    <s v="9989012711"/>
    <s v="SWINGIN DOOR (WARAC CORP)"/>
    <n v="2"/>
    <x v="18"/>
  </r>
  <r>
    <d v="2025-02-19T00:00:00"/>
    <s v="9989012711"/>
    <s v="SWINGIN DOOR (WARAC CORP)"/>
    <n v="1"/>
    <x v="37"/>
  </r>
  <r>
    <d v="2025-02-19T00:00:00"/>
    <s v="9989012712"/>
    <s v="CANYON CLUB BREWERY"/>
    <n v="1"/>
    <x v="7"/>
  </r>
  <r>
    <d v="2025-02-19T00:00:00"/>
    <s v="9989012712"/>
    <s v="CANYON CLUB BREWERY"/>
    <n v="1"/>
    <x v="15"/>
  </r>
  <r>
    <d v="2025-02-19T00:00:00"/>
    <s v="9989012712"/>
    <s v="CANYON CLUB BREWERY"/>
    <n v="1"/>
    <x v="10"/>
  </r>
  <r>
    <d v="2025-02-19T00:00:00"/>
    <s v="9989012713"/>
    <s v="STATE OF MIND PUBLIC HOUSE REDWOOD CITY"/>
    <n v="1"/>
    <x v="12"/>
  </r>
  <r>
    <d v="2025-02-19T00:00:00"/>
    <s v="9989012713"/>
    <s v="STATE OF MIND PUBLIC HOUSE REDWOOD CITY"/>
    <n v="1"/>
    <x v="8"/>
  </r>
  <r>
    <d v="2025-02-19T00:00:00"/>
    <s v="9989012714"/>
    <s v="HEADLANDS BREWING - LAFAYETTE"/>
    <n v="1"/>
    <x v="24"/>
  </r>
  <r>
    <d v="2025-02-19T00:00:00"/>
    <s v="9989012714"/>
    <s v="HEADLANDS BREWING - LAFAYETTE"/>
    <n v="1"/>
    <x v="5"/>
  </r>
  <r>
    <d v="2025-02-19T00:00:00"/>
    <s v="9989012714"/>
    <s v="HEADLANDS BREWING - LAFAYETTE"/>
    <n v="1"/>
    <x v="12"/>
  </r>
  <r>
    <d v="2025-02-19T00:00:00"/>
    <s v="9989012715"/>
    <s v="STATE OF MIND SLICE HOUSE  (PALO ALTO)"/>
    <n v="2"/>
    <x v="15"/>
  </r>
  <r>
    <d v="2025-02-19T00:00:00"/>
    <s v="9989012715"/>
    <s v="STATE OF MIND SLICE HOUSE  (PALO ALTO)"/>
    <n v="1"/>
    <x v="8"/>
  </r>
  <r>
    <d v="2025-02-19T00:00:00"/>
    <s v="9989012715"/>
    <s v="STATE OF MIND SLICE HOUSE  (PALO ALTO)"/>
    <n v="1"/>
    <x v="7"/>
  </r>
  <r>
    <d v="2025-02-19T00:00:00"/>
    <s v="9989012715"/>
    <s v="STATE OF MIND SLICE HOUSE  (PALO ALTO)"/>
    <n v="1"/>
    <x v="12"/>
  </r>
  <r>
    <d v="2025-02-19T00:00:00"/>
    <s v="9989012715"/>
    <s v="STATE OF MIND SLICE HOUSE  (PALO ALTO)"/>
    <n v="1"/>
    <x v="19"/>
  </r>
  <r>
    <d v="2025-02-19T00:00:00"/>
    <s v="9989012715"/>
    <s v="STATE OF MIND SLICE HOUSE  (PALO ALTO)"/>
    <n v="1"/>
    <x v="17"/>
  </r>
  <r>
    <d v="2025-02-19T00:00:00"/>
    <s v="9989012716"/>
    <s v="STATE OF MIND PUBLIC HOUSE &amp; PIZZERIA (LOS ALTOS)"/>
    <n v="2"/>
    <x v="15"/>
  </r>
  <r>
    <d v="2025-02-19T00:00:00"/>
    <s v="9989012716"/>
    <s v="STATE OF MIND PUBLIC HOUSE &amp; PIZZERIA (LOS ALTOS)"/>
    <n v="1"/>
    <x v="8"/>
  </r>
  <r>
    <d v="2025-02-19T00:00:00"/>
    <s v="9989012716"/>
    <s v="STATE OF MIND PUBLIC HOUSE &amp; PIZZERIA (LOS ALTOS)"/>
    <n v="1"/>
    <x v="7"/>
  </r>
  <r>
    <d v="2025-02-19T00:00:00"/>
    <s v="9989012717"/>
    <s v="THE MELT (STANFORD)"/>
    <n v="2"/>
    <x v="8"/>
  </r>
  <r>
    <d v="2025-02-19T00:00:00"/>
    <s v="9989012717"/>
    <s v="THE MELT (STANFORD)"/>
    <n v="1"/>
    <x v="12"/>
  </r>
  <r>
    <d v="2025-02-19T00:00:00"/>
    <s v="9989012717"/>
    <s v="THE MELT (STANFORD)"/>
    <n v="1"/>
    <x v="9"/>
  </r>
  <r>
    <d v="2025-02-19T00:00:00"/>
    <s v="9989012717"/>
    <s v="THE MELT (STANFORD)"/>
    <n v="1"/>
    <x v="5"/>
  </r>
  <r>
    <d v="2025-02-19T00:00:00"/>
    <s v="9989012717"/>
    <s v="THE MELT (STANFORD)"/>
    <n v="1"/>
    <x v="15"/>
  </r>
  <r>
    <d v="2025-02-19T00:00:00"/>
    <s v="9989012717"/>
    <s v="THE MELT (STANFORD)"/>
    <n v="1"/>
    <x v="10"/>
  </r>
  <r>
    <d v="2025-02-19T00:00:00"/>
    <s v="9989012718"/>
    <s v="STARBIRD CHICKEN - WALNUT CREEK"/>
    <n v="2"/>
    <x v="8"/>
  </r>
  <r>
    <d v="2025-02-19T00:00:00"/>
    <s v="9989012718"/>
    <s v="STARBIRD CHICKEN - WALNUT CREEK"/>
    <n v="2"/>
    <x v="15"/>
  </r>
  <r>
    <d v="2025-02-19T00:00:00"/>
    <s v="9989012718"/>
    <s v="STARBIRD CHICKEN - WALNUT CREEK"/>
    <n v="1"/>
    <x v="12"/>
  </r>
  <r>
    <d v="2025-02-19T00:00:00"/>
    <s v="9989012718"/>
    <s v="STARBIRD CHICKEN - WALNUT CREEK"/>
    <n v="3"/>
    <x v="5"/>
  </r>
  <r>
    <d v="2025-02-19T00:00:00"/>
    <s v="9989012718"/>
    <s v="STARBIRD CHICKEN - WALNUT CREEK"/>
    <n v="1"/>
    <x v="17"/>
  </r>
  <r>
    <d v="2025-02-19T00:00:00"/>
    <s v="9989012718"/>
    <s v="STARBIRD CHICKEN - WALNUT CREEK"/>
    <n v="1"/>
    <x v="23"/>
  </r>
  <r>
    <d v="2025-02-19T00:00:00"/>
    <s v="9989012718"/>
    <s v="STARBIRD CHICKEN - WALNUT CREEK"/>
    <n v="2"/>
    <x v="1"/>
  </r>
  <r>
    <d v="2025-02-19T00:00:00"/>
    <s v="9989012718"/>
    <s v="STARBIRD CHICKEN - WALNUT CREEK"/>
    <n v="1"/>
    <x v="11"/>
  </r>
  <r>
    <d v="2025-02-19T00:00:00"/>
    <s v="9989012718"/>
    <s v="STARBIRD CHICKEN - WALNUT CREEK"/>
    <n v="1"/>
    <x v="4"/>
  </r>
  <r>
    <d v="2025-02-19T00:00:00"/>
    <s v="9989012719"/>
    <s v="MONTE CARLO"/>
    <n v="3"/>
    <x v="28"/>
  </r>
  <r>
    <d v="2025-02-19T00:00:00"/>
    <s v="9989012719"/>
    <s v="MONTE CARLO"/>
    <n v="3"/>
    <x v="14"/>
  </r>
  <r>
    <d v="2025-02-19T00:00:00"/>
    <s v="9989012719"/>
    <s v="MONTE CARLO"/>
    <n v="2"/>
    <x v="29"/>
  </r>
  <r>
    <d v="2025-02-19T00:00:00"/>
    <s v="9989012720"/>
    <s v="A SLICE OF NEW YORK 2"/>
    <n v="1"/>
    <x v="17"/>
  </r>
  <r>
    <d v="2025-02-19T00:00:00"/>
    <s v="9989012720"/>
    <s v="A SLICE OF NEW YORK 2"/>
    <n v="1"/>
    <x v="7"/>
  </r>
  <r>
    <d v="2025-02-19T00:00:00"/>
    <s v="9989012720"/>
    <s v="A SLICE OF NEW YORK 2"/>
    <n v="1"/>
    <x v="9"/>
  </r>
  <r>
    <d v="2025-02-19T00:00:00"/>
    <s v="9989012720"/>
    <s v="A SLICE OF NEW YORK 2"/>
    <n v="2"/>
    <x v="10"/>
  </r>
  <r>
    <d v="2025-02-19T00:00:00"/>
    <s v="9989012721"/>
    <s v="DUKE OF EDINBURGH"/>
    <n v="2"/>
    <x v="8"/>
  </r>
  <r>
    <d v="2025-02-19T00:00:00"/>
    <s v="9989012721"/>
    <s v="DUKE OF EDINBURGH"/>
    <n v="1"/>
    <x v="12"/>
  </r>
  <r>
    <d v="2025-02-19T00:00:00"/>
    <s v="9989012721"/>
    <s v="DUKE OF EDINBURGH"/>
    <n v="2"/>
    <x v="24"/>
  </r>
  <r>
    <d v="2025-02-19T00:00:00"/>
    <s v="9989012721"/>
    <s v="DUKE OF EDINBURGH"/>
    <n v="1"/>
    <x v="14"/>
  </r>
  <r>
    <d v="2025-02-19T00:00:00"/>
    <s v="9989012721"/>
    <s v="DUKE OF EDINBURGH"/>
    <n v="2"/>
    <x v="15"/>
  </r>
  <r>
    <d v="2025-02-19T00:00:00"/>
    <s v="9989012722"/>
    <s v="LUNA LOCA (JAINS FOODS)"/>
    <n v="1"/>
    <x v="8"/>
  </r>
  <r>
    <d v="2025-02-19T00:00:00"/>
    <s v="9989012722"/>
    <s v="LUNA LOCA (JAINS FOODS)"/>
    <n v="1"/>
    <x v="15"/>
  </r>
  <r>
    <d v="2025-02-19T00:00:00"/>
    <s v="9989012722"/>
    <s v="LUNA LOCA (JAINS FOODS)"/>
    <n v="1"/>
    <x v="7"/>
  </r>
  <r>
    <d v="2025-02-19T00:00:00"/>
    <s v="9989012723"/>
    <s v="PANCOAST PIZZA"/>
    <n v="1"/>
    <x v="5"/>
  </r>
  <r>
    <d v="2025-02-19T00:00:00"/>
    <s v="9989012723"/>
    <s v="PANCOAST PIZZA"/>
    <n v="1"/>
    <x v="17"/>
  </r>
  <r>
    <d v="2025-02-19T00:00:00"/>
    <s v="9989012723"/>
    <s v="PANCOAST PIZZA"/>
    <n v="1"/>
    <x v="8"/>
  </r>
  <r>
    <d v="2025-02-19T00:00:00"/>
    <s v="9989012723"/>
    <s v="PANCOAST PIZZA"/>
    <n v="1"/>
    <x v="15"/>
  </r>
  <r>
    <d v="2025-02-19T00:00:00"/>
    <s v="9989012723"/>
    <s v="PANCOAST PIZZA"/>
    <n v="1"/>
    <x v="16"/>
  </r>
  <r>
    <d v="2025-02-19T00:00:00"/>
    <s v="9989012724"/>
    <s v="SCOLARIS ON PARK ST"/>
    <n v="3"/>
    <x v="11"/>
  </r>
  <r>
    <d v="2025-02-19T00:00:00"/>
    <s v="9989012724"/>
    <s v="SCOLARIS ON PARK ST"/>
    <n v="7"/>
    <x v="1"/>
  </r>
  <r>
    <d v="2025-02-19T00:00:00"/>
    <s v="9989012724"/>
    <s v="SCOLARIS ON PARK ST"/>
    <n v="3"/>
    <x v="3"/>
  </r>
  <r>
    <d v="2025-02-19T00:00:00"/>
    <s v="9989012724"/>
    <s v="SCOLARIS ON PARK ST"/>
    <n v="4"/>
    <x v="4"/>
  </r>
  <r>
    <d v="2025-02-19T00:00:00"/>
    <s v="9989012724"/>
    <s v="SCOLARIS ON PARK ST"/>
    <n v="1"/>
    <x v="2"/>
  </r>
  <r>
    <d v="2025-02-19T00:00:00"/>
    <s v="9989012725"/>
    <s v="THE MELT (DANVILLE)"/>
    <n v="1"/>
    <x v="16"/>
  </r>
  <r>
    <d v="2025-02-19T00:00:00"/>
    <s v="9989012725"/>
    <s v="THE MELT (DANVILLE)"/>
    <n v="1"/>
    <x v="8"/>
  </r>
  <r>
    <d v="2025-02-19T00:00:00"/>
    <s v="9989012725"/>
    <s v="THE MELT (DANVILLE)"/>
    <n v="1"/>
    <x v="9"/>
  </r>
  <r>
    <d v="2025-02-19T00:00:00"/>
    <s v="9989012725"/>
    <s v="THE MELT (DANVILLE)"/>
    <n v="1"/>
    <x v="5"/>
  </r>
  <r>
    <d v="2025-02-19T00:00:00"/>
    <s v="9989012725"/>
    <s v="THE MELT (DANVILLE)"/>
    <n v="1"/>
    <x v="10"/>
  </r>
  <r>
    <d v="2025-02-19T00:00:00"/>
    <s v="9989012726"/>
    <s v="STARBIRD CHICKEN - PLEASANTON"/>
    <n v="1"/>
    <x v="8"/>
  </r>
  <r>
    <d v="2025-02-19T00:00:00"/>
    <s v="9989012726"/>
    <s v="STARBIRD CHICKEN - PLEASANTON"/>
    <n v="1"/>
    <x v="15"/>
  </r>
  <r>
    <d v="2025-02-19T00:00:00"/>
    <s v="9989012726"/>
    <s v="STARBIRD CHICKEN - PLEASANTON"/>
    <n v="1"/>
    <x v="17"/>
  </r>
  <r>
    <d v="2025-02-19T00:00:00"/>
    <s v="9989012726"/>
    <s v="STARBIRD CHICKEN - PLEASANTON"/>
    <n v="1"/>
    <x v="23"/>
  </r>
  <r>
    <d v="2025-02-19T00:00:00"/>
    <s v="9989012726"/>
    <s v="STARBIRD CHICKEN - PLEASANTON"/>
    <n v="1"/>
    <x v="4"/>
  </r>
  <r>
    <d v="2025-02-19T00:00:00"/>
    <s v="9989012727"/>
    <s v="LIVERMORE CASINO"/>
    <n v="1"/>
    <x v="26"/>
  </r>
  <r>
    <d v="2025-02-19T00:00:00"/>
    <s v="9989012727"/>
    <s v="LIVERMORE CASINO"/>
    <n v="1"/>
    <x v="14"/>
  </r>
  <r>
    <d v="2025-02-19T00:00:00"/>
    <s v="9989012727"/>
    <s v="LIVERMORE CASINO"/>
    <n v="1"/>
    <x v="7"/>
  </r>
  <r>
    <d v="2025-02-19T00:00:00"/>
    <s v="9989012728"/>
    <s v="CALI KID BURGERS AND SHAKES"/>
    <n v="2"/>
    <x v="17"/>
  </r>
  <r>
    <d v="2025-02-19T00:00:00"/>
    <s v="9989012728"/>
    <s v="CALI KID BURGERS AND SHAKES"/>
    <n v="2"/>
    <x v="5"/>
  </r>
  <r>
    <d v="2025-02-19T00:00:00"/>
    <s v="9989012728"/>
    <s v="CALI KID BURGERS AND SHAKES"/>
    <n v="1"/>
    <x v="8"/>
  </r>
  <r>
    <d v="2025-02-19T00:00:00"/>
    <s v="9989012728"/>
    <s v="CALI KID BURGERS AND SHAKES"/>
    <n v="1"/>
    <x v="15"/>
  </r>
  <r>
    <d v="2025-02-19T00:00:00"/>
    <s v="9989012728"/>
    <s v="CALI KID BURGERS AND SHAKES"/>
    <n v="1"/>
    <x v="12"/>
  </r>
  <r>
    <d v="2025-02-19T00:00:00"/>
    <s v="9989012728"/>
    <s v="CALI KID BURGERS AND SHAKES"/>
    <n v="1"/>
    <x v="9"/>
  </r>
  <r>
    <d v="2025-02-19T00:00:00"/>
    <s v="9989012728"/>
    <s v="CALI KID BURGERS AND SHAKES"/>
    <n v="1"/>
    <x v="10"/>
  </r>
  <r>
    <d v="2025-02-20T00:00:00"/>
    <s v="9989012729"/>
    <s v="TRABOCCO"/>
    <n v="1"/>
    <x v="12"/>
  </r>
  <r>
    <d v="2025-02-20T00:00:00"/>
    <s v="9989012729"/>
    <s v="TRABOCCO"/>
    <n v="1"/>
    <x v="15"/>
  </r>
  <r>
    <d v="2025-02-20T00:00:00"/>
    <s v="9989012729"/>
    <s v="TRABOCCO"/>
    <n v="1"/>
    <x v="8"/>
  </r>
  <r>
    <d v="2025-02-20T00:00:00"/>
    <s v="9989012729"/>
    <s v="TRABOCCO"/>
    <n v="1"/>
    <x v="10"/>
  </r>
  <r>
    <d v="2025-02-20T00:00:00"/>
    <s v="9989012730"/>
    <s v="THE PHOENIX ALAMEDA"/>
    <n v="2"/>
    <x v="11"/>
  </r>
  <r>
    <d v="2025-02-20T00:00:00"/>
    <s v="9989012730"/>
    <s v="THE PHOENIX ALAMEDA"/>
    <n v="1"/>
    <x v="1"/>
  </r>
  <r>
    <d v="2025-02-20T00:00:00"/>
    <s v="9989012730"/>
    <s v="THE PHOENIX ALAMEDA"/>
    <n v="1"/>
    <x v="0"/>
  </r>
  <r>
    <d v="2025-02-20T00:00:00"/>
    <s v="9989012730"/>
    <s v="THE PHOENIX ALAMEDA"/>
    <n v="1"/>
    <x v="3"/>
  </r>
  <r>
    <d v="2025-02-20T00:00:00"/>
    <s v="9989012730"/>
    <s v="THE PHOENIX ALAMEDA"/>
    <n v="1"/>
    <x v="4"/>
  </r>
  <r>
    <d v="2025-02-20T00:00:00"/>
    <s v="9989012731"/>
    <s v="ENCINAL MARKET"/>
    <n v="1"/>
    <x v="11"/>
  </r>
  <r>
    <d v="2025-02-20T00:00:00"/>
    <s v="9989012731"/>
    <s v="ENCINAL MARKET"/>
    <n v="1"/>
    <x v="1"/>
  </r>
  <r>
    <d v="2025-02-20T00:00:00"/>
    <s v="9989012731"/>
    <s v="ENCINAL MARKET"/>
    <n v="1"/>
    <x v="4"/>
  </r>
  <r>
    <d v="2025-02-20T00:00:00"/>
    <s v="9989012732"/>
    <s v="THE MELT (925 MARKET)"/>
    <n v="5"/>
    <x v="8"/>
  </r>
  <r>
    <d v="2025-02-20T00:00:00"/>
    <s v="9989012732"/>
    <s v="THE MELT (925 MARKET)"/>
    <n v="3"/>
    <x v="12"/>
  </r>
  <r>
    <d v="2025-02-20T00:00:00"/>
    <s v="9989012732"/>
    <s v="THE MELT (925 MARKET)"/>
    <n v="2"/>
    <x v="9"/>
  </r>
  <r>
    <d v="2025-02-20T00:00:00"/>
    <s v="9989012732"/>
    <s v="THE MELT (925 MARKET)"/>
    <n v="1"/>
    <x v="15"/>
  </r>
  <r>
    <d v="2025-02-20T00:00:00"/>
    <s v="9989012732"/>
    <s v="THE MELT (925 MARKET)"/>
    <n v="3"/>
    <x v="10"/>
  </r>
  <r>
    <d v="2025-02-20T00:00:00"/>
    <s v="9989012732"/>
    <s v="THE MELT (925 MARKET)"/>
    <n v="1"/>
    <x v="5"/>
  </r>
  <r>
    <d v="2025-02-20T00:00:00"/>
    <s v="9989012733"/>
    <s v="UNION STREET ALE HOUSE"/>
    <n v="1"/>
    <x v="8"/>
  </r>
  <r>
    <d v="2025-02-20T00:00:00"/>
    <s v="9989012735"/>
    <s v="DINOS GRILL"/>
    <n v="2"/>
    <x v="8"/>
  </r>
  <r>
    <d v="2025-02-20T00:00:00"/>
    <s v="9989012735"/>
    <s v="DINOS GRILL"/>
    <n v="2"/>
    <x v="16"/>
  </r>
  <r>
    <d v="2025-02-20T00:00:00"/>
    <s v="9989012735"/>
    <s v="DINOS GRILL"/>
    <n v="2"/>
    <x v="5"/>
  </r>
  <r>
    <d v="2025-02-20T00:00:00"/>
    <s v="9989012735"/>
    <s v="DINOS GRILL"/>
    <n v="1"/>
    <x v="12"/>
  </r>
  <r>
    <d v="2025-02-20T00:00:00"/>
    <s v="9989012735"/>
    <s v="DINOS GRILL"/>
    <n v="1"/>
    <x v="9"/>
  </r>
  <r>
    <d v="2025-02-20T00:00:00"/>
    <s v="9989012735"/>
    <s v="DINOS GRILL"/>
    <n v="1"/>
    <x v="15"/>
  </r>
  <r>
    <d v="2025-02-20T00:00:00"/>
    <s v="9989012735"/>
    <s v="DINOS GRILL"/>
    <n v="2"/>
    <x v="1"/>
  </r>
  <r>
    <d v="2025-02-20T00:00:00"/>
    <s v="9989012735"/>
    <s v="DINOS GRILL"/>
    <n v="1"/>
    <x v="2"/>
  </r>
  <r>
    <d v="2025-02-20T00:00:00"/>
    <s v="9989012735"/>
    <s v="DINOS GRILL"/>
    <n v="2"/>
    <x v="4"/>
  </r>
  <r>
    <d v="2025-02-20T00:00:00"/>
    <s v="9989012735"/>
    <s v="DINOS GRILL"/>
    <n v="1"/>
    <x v="11"/>
  </r>
  <r>
    <d v="2025-02-20T00:00:00"/>
    <s v="9989012735"/>
    <s v="DINOS GRILL"/>
    <n v="1"/>
    <x v="0"/>
  </r>
  <r>
    <d v="2025-02-20T00:00:00"/>
    <s v="9989012736"/>
    <s v="MONROE"/>
    <n v="1"/>
    <x v="8"/>
  </r>
  <r>
    <d v="2025-02-20T00:00:00"/>
    <s v="9989012736"/>
    <s v="MONROE"/>
    <n v="1"/>
    <x v="15"/>
  </r>
  <r>
    <d v="2025-02-20T00:00:00"/>
    <s v="9989012736"/>
    <s v="MONROE"/>
    <n v="2"/>
    <x v="14"/>
  </r>
  <r>
    <d v="2025-02-20T00:00:00"/>
    <s v="9989012737"/>
    <s v="MY RADISH/BLOOM ENERGY"/>
    <n v="2"/>
    <x v="15"/>
  </r>
  <r>
    <d v="2025-02-20T00:00:00"/>
    <s v="9989012737"/>
    <s v="MY RADISH/BLOOM ENERGY"/>
    <n v="1"/>
    <x v="10"/>
  </r>
  <r>
    <d v="2025-02-20T00:00:00"/>
    <s v="9989012737"/>
    <s v="MY RADISH/BLOOM ENERGY"/>
    <n v="1"/>
    <x v="5"/>
  </r>
  <r>
    <d v="2025-02-20T00:00:00"/>
    <s v="9989012737"/>
    <s v="MY RADISH/BLOOM ENERGY"/>
    <n v="1"/>
    <x v="16"/>
  </r>
  <r>
    <d v="2025-02-20T00:00:00"/>
    <s v="9989012738"/>
    <s v="TOP DOG #3 LAK"/>
    <n v="1"/>
    <x v="26"/>
  </r>
  <r>
    <d v="2025-02-20T00:00:00"/>
    <s v="9989012738"/>
    <s v="TOP DOG #3 LAK"/>
    <n v="1"/>
    <x v="13"/>
  </r>
  <r>
    <d v="2025-02-20T00:00:00"/>
    <s v="9989012738"/>
    <s v="TOP DOG #3 LAK"/>
    <n v="1"/>
    <x v="27"/>
  </r>
  <r>
    <d v="2025-02-20T00:00:00"/>
    <s v="9989012738"/>
    <s v="TOP DOG #3 LAK"/>
    <n v="1"/>
    <x v="7"/>
  </r>
  <r>
    <d v="2025-02-20T00:00:00"/>
    <s v="9989012738"/>
    <s v="TOP DOG #3 LAK"/>
    <n v="3"/>
    <x v="5"/>
  </r>
  <r>
    <d v="2025-02-20T00:00:00"/>
    <s v="9989012739"/>
    <s v="STARBIRD CHICKEN - SAN JOSE"/>
    <n v="1"/>
    <x v="8"/>
  </r>
  <r>
    <d v="2025-02-20T00:00:00"/>
    <s v="9989012739"/>
    <s v="STARBIRD CHICKEN - SAN JOSE"/>
    <n v="1"/>
    <x v="15"/>
  </r>
  <r>
    <d v="2025-02-20T00:00:00"/>
    <s v="9989012739"/>
    <s v="STARBIRD CHICKEN - SAN JOSE"/>
    <n v="1"/>
    <x v="5"/>
  </r>
  <r>
    <d v="2025-02-20T00:00:00"/>
    <s v="9989012739"/>
    <s v="STARBIRD CHICKEN - SAN JOSE"/>
    <n v="1"/>
    <x v="12"/>
  </r>
  <r>
    <d v="2025-02-20T00:00:00"/>
    <s v="9989012739"/>
    <s v="STARBIRD CHICKEN - SAN JOSE"/>
    <n v="1"/>
    <x v="17"/>
  </r>
  <r>
    <d v="2025-02-20T00:00:00"/>
    <s v="9989012739"/>
    <s v="STARBIRD CHICKEN - SAN JOSE"/>
    <n v="1"/>
    <x v="10"/>
  </r>
  <r>
    <d v="2025-02-20T00:00:00"/>
    <s v="9989012740"/>
    <s v="THE STAR ON GRAND"/>
    <n v="1"/>
    <x v="12"/>
  </r>
  <r>
    <d v="2025-02-20T00:00:00"/>
    <s v="9989012740"/>
    <s v="THE STAR ON GRAND"/>
    <n v="1"/>
    <x v="10"/>
  </r>
  <r>
    <d v="2025-02-20T00:00:00"/>
    <s v="9989012742"/>
    <s v="HEADLANDS BREWING - WALNUT CREEK"/>
    <n v="1"/>
    <x v="8"/>
  </r>
  <r>
    <d v="2025-02-20T00:00:00"/>
    <s v="9989012742"/>
    <s v="HEADLANDS BREWING - WALNUT CREEK"/>
    <n v="1"/>
    <x v="24"/>
  </r>
  <r>
    <d v="2025-02-20T00:00:00"/>
    <s v="9989012742"/>
    <s v="HEADLANDS BREWING - WALNUT CREEK"/>
    <n v="1"/>
    <x v="5"/>
  </r>
  <r>
    <d v="2025-02-20T00:00:00"/>
    <s v="9989012743"/>
    <s v="STRAITS SANTANA ROW"/>
    <n v="1"/>
    <x v="8"/>
  </r>
  <r>
    <d v="2025-02-20T00:00:00"/>
    <s v="9989012743"/>
    <s v="STRAITS SANTANA ROW"/>
    <n v="1"/>
    <x v="15"/>
  </r>
  <r>
    <d v="2025-02-20T00:00:00"/>
    <s v="9989012743"/>
    <s v="STRAITS SANTANA ROW"/>
    <n v="1"/>
    <x v="12"/>
  </r>
  <r>
    <d v="2025-02-20T00:00:00"/>
    <s v="9989012743"/>
    <s v="STRAITS SANTANA ROW"/>
    <n v="1"/>
    <x v="18"/>
  </r>
  <r>
    <d v="2025-02-20T00:00:00"/>
    <s v="9989012743"/>
    <s v="STRAITS SANTANA ROW"/>
    <n v="1"/>
    <x v="28"/>
  </r>
  <r>
    <d v="2025-02-20T00:00:00"/>
    <s v="9989012743"/>
    <s v="STRAITS SANTANA ROW"/>
    <n v="1"/>
    <x v="14"/>
  </r>
  <r>
    <d v="2025-02-20T00:00:00"/>
    <s v="9989012743"/>
    <s v="STRAITS SANTANA ROW"/>
    <n v="1"/>
    <x v="10"/>
  </r>
  <r>
    <d v="2025-02-20T00:00:00"/>
    <s v="9989012744"/>
    <s v="THE MELT (SANTA CLARA 0045)"/>
    <n v="1"/>
    <x v="8"/>
  </r>
  <r>
    <d v="2025-02-20T00:00:00"/>
    <s v="9989012744"/>
    <s v="THE MELT (SANTA CLARA 0045)"/>
    <n v="2"/>
    <x v="15"/>
  </r>
  <r>
    <d v="2025-02-20T00:00:00"/>
    <s v="9989012746"/>
    <s v="BRONCO BILLYS HAYWARD"/>
    <n v="2"/>
    <x v="17"/>
  </r>
  <r>
    <d v="2025-02-20T00:00:00"/>
    <s v="9989012746"/>
    <s v="BRONCO BILLYS HAYWARD"/>
    <n v="2"/>
    <x v="9"/>
  </r>
  <r>
    <d v="2025-02-20T00:00:00"/>
    <s v="9989012746"/>
    <s v="BRONCO BILLYS HAYWARD"/>
    <n v="4"/>
    <x v="8"/>
  </r>
  <r>
    <d v="2025-02-20T00:00:00"/>
    <s v="9989012746"/>
    <s v="BRONCO BILLYS HAYWARD"/>
    <n v="4"/>
    <x v="5"/>
  </r>
  <r>
    <d v="2025-02-20T00:00:00"/>
    <s v="9989012746"/>
    <s v="BRONCO BILLYS HAYWARD"/>
    <n v="2"/>
    <x v="30"/>
  </r>
  <r>
    <d v="2025-02-20T00:00:00"/>
    <s v="9989012746"/>
    <s v="BRONCO BILLYS HAYWARD"/>
    <n v="3"/>
    <x v="7"/>
  </r>
  <r>
    <d v="2025-02-21T00:00:00"/>
    <s v="9989012749"/>
    <s v="GATHER"/>
    <n v="1"/>
    <x v="11"/>
  </r>
  <r>
    <d v="2025-02-21T00:00:00"/>
    <s v="9989012749"/>
    <s v="GATHER"/>
    <n v="2"/>
    <x v="1"/>
  </r>
  <r>
    <d v="2025-02-21T00:00:00"/>
    <s v="9989012750"/>
    <s v="HOG ISLAND OYSTER CO LARKSPUR"/>
    <n v="2"/>
    <x v="15"/>
  </r>
  <r>
    <d v="2025-02-21T00:00:00"/>
    <s v="9989012750"/>
    <s v="HOG ISLAND OYSTER CO LARKSPUR"/>
    <n v="1"/>
    <x v="12"/>
  </r>
  <r>
    <d v="2025-02-21T00:00:00"/>
    <s v="9989012750"/>
    <s v="HOG ISLAND OYSTER CO LARKSPUR"/>
    <n v="1"/>
    <x v="8"/>
  </r>
  <r>
    <d v="2025-02-21T00:00:00"/>
    <s v="9989012750"/>
    <s v="HOG ISLAND OYSTER CO LARKSPUR"/>
    <n v="1"/>
    <x v="5"/>
  </r>
  <r>
    <d v="2025-02-21T00:00:00"/>
    <s v="9989012751"/>
    <s v="THE JUNCTION"/>
    <n v="1"/>
    <x v="7"/>
  </r>
  <r>
    <d v="2025-02-21T00:00:00"/>
    <s v="9989012751"/>
    <s v="THE JUNCTION"/>
    <n v="2"/>
    <x v="25"/>
  </r>
  <r>
    <d v="2025-02-21T00:00:00"/>
    <s v="9989012752"/>
    <s v="5 SPICE KTCHEN"/>
    <n v="1"/>
    <x v="12"/>
  </r>
  <r>
    <d v="2025-02-21T00:00:00"/>
    <s v="9989012752"/>
    <s v="5 SPICE KTCHEN"/>
    <n v="1"/>
    <x v="14"/>
  </r>
  <r>
    <d v="2025-02-21T00:00:00"/>
    <s v="9989012753"/>
    <s v="LUCKY 13"/>
    <n v="1"/>
    <x v="13"/>
  </r>
  <r>
    <d v="2025-02-24T00:00:00"/>
    <s v="9989012757"/>
    <s v="THE MELT- PARADISE VALLEY AZ"/>
    <n v="3"/>
    <x v="16"/>
  </r>
  <r>
    <d v="2025-02-24T00:00:00"/>
    <s v="9989012757"/>
    <s v="THE MELT- PARADISE VALLEY AZ"/>
    <n v="3"/>
    <x v="8"/>
  </r>
  <r>
    <d v="2025-02-24T00:00:00"/>
    <s v="9989012757"/>
    <s v="THE MELT- PARADISE VALLEY AZ"/>
    <n v="2"/>
    <x v="15"/>
  </r>
  <r>
    <d v="2025-02-24T00:00:00"/>
    <s v="9989012757"/>
    <s v="THE MELT- PARADISE VALLEY AZ"/>
    <n v="2"/>
    <x v="10"/>
  </r>
  <r>
    <d v="2025-02-24T00:00:00"/>
    <s v="9989012757"/>
    <s v="THE MELT- PARADISE VALLEY AZ"/>
    <n v="1"/>
    <x v="12"/>
  </r>
  <r>
    <d v="2025-02-24T00:00:00"/>
    <s v="9989012757"/>
    <s v="THE MELT- PARADISE VALLEY AZ"/>
    <n v="2"/>
    <x v="9"/>
  </r>
  <r>
    <d v="2025-02-24T00:00:00"/>
    <s v="9989012757"/>
    <s v="THE MELT- PARADISE VALLEY AZ"/>
    <n v="3"/>
    <x v="5"/>
  </r>
  <r>
    <d v="2025-02-24T00:00:00"/>
    <s v="9989012756"/>
    <s v="STARBIRD CHICKEN - CORTE MADERA"/>
    <n v="1"/>
    <x v="8"/>
  </r>
  <r>
    <d v="2025-02-24T00:00:00"/>
    <s v="9989012756"/>
    <s v="STARBIRD CHICKEN - CORTE MADERA"/>
    <n v="1"/>
    <x v="15"/>
  </r>
  <r>
    <d v="2025-02-24T00:00:00"/>
    <s v="9989012756"/>
    <s v="STARBIRD CHICKEN - CORTE MADERA"/>
    <n v="1"/>
    <x v="17"/>
  </r>
  <r>
    <d v="2025-02-24T00:00:00"/>
    <s v="9989012756"/>
    <s v="STARBIRD CHICKEN - CORTE MADERA"/>
    <n v="1"/>
    <x v="23"/>
  </r>
  <r>
    <d v="2025-02-24T00:00:00"/>
    <s v="9989012759"/>
    <s v="THE MELT (SACRAMENTO-BLVD)"/>
    <n v="3"/>
    <x v="16"/>
  </r>
  <r>
    <d v="2025-02-24T00:00:00"/>
    <s v="9989012759"/>
    <s v="THE MELT (SACRAMENTO-BLVD)"/>
    <n v="3"/>
    <x v="8"/>
  </r>
  <r>
    <d v="2025-02-24T00:00:00"/>
    <s v="9989012759"/>
    <s v="THE MELT (SACRAMENTO-BLVD)"/>
    <n v="4"/>
    <x v="15"/>
  </r>
  <r>
    <d v="2025-02-24T00:00:00"/>
    <s v="9989012759"/>
    <s v="THE MELT (SACRAMENTO-BLVD)"/>
    <n v="2"/>
    <x v="12"/>
  </r>
  <r>
    <d v="2025-02-24T00:00:00"/>
    <s v="9989012759"/>
    <s v="THE MELT (SACRAMENTO-BLVD)"/>
    <n v="2"/>
    <x v="9"/>
  </r>
  <r>
    <d v="2025-02-24T00:00:00"/>
    <s v="9989012759"/>
    <s v="THE MELT (SACRAMENTO-BLVD)"/>
    <n v="3"/>
    <x v="5"/>
  </r>
  <r>
    <d v="2025-02-24T00:00:00"/>
    <s v="9989012760"/>
    <s v="BUDDHA LOUNGE"/>
    <n v="1"/>
    <x v="13"/>
  </r>
  <r>
    <d v="2025-02-24T00:00:00"/>
    <s v="9989012760"/>
    <s v="BUDDHA LOUNGE"/>
    <n v="1"/>
    <x v="18"/>
  </r>
  <r>
    <d v="2025-02-24T00:00:00"/>
    <s v="9989012761"/>
    <s v="THE MELT (FOLSOM)"/>
    <n v="1"/>
    <x v="8"/>
  </r>
  <r>
    <d v="2025-02-24T00:00:00"/>
    <s v="9989012761"/>
    <s v="THE MELT (FOLSOM)"/>
    <n v="1"/>
    <x v="10"/>
  </r>
  <r>
    <d v="2025-02-24T00:00:00"/>
    <s v="9989012761"/>
    <s v="THE MELT (FOLSOM)"/>
    <n v="1"/>
    <x v="9"/>
  </r>
  <r>
    <d v="2025-02-25T00:00:00"/>
    <s v="9989012768"/>
    <s v="CAFE JOLIE"/>
    <n v="1"/>
    <x v="24"/>
  </r>
  <r>
    <d v="2025-02-25T00:00:00"/>
    <s v="9989012768"/>
    <s v="CAFE JOLIE"/>
    <n v="1"/>
    <x v="8"/>
  </r>
  <r>
    <d v="2025-02-25T00:00:00"/>
    <s v="9989012768"/>
    <s v="CAFE JOLIE"/>
    <n v="1"/>
    <x v="15"/>
  </r>
  <r>
    <d v="2025-02-25T00:00:00"/>
    <s v="9989012768"/>
    <s v="CAFE JOLIE"/>
    <n v="1"/>
    <x v="12"/>
  </r>
  <r>
    <d v="2025-02-25T00:00:00"/>
    <s v="9989012769"/>
    <s v="PIXAR ANIMATION STUDIOS"/>
    <n v="1"/>
    <x v="10"/>
  </r>
  <r>
    <d v="2025-02-25T00:00:00"/>
    <s v="9989012769"/>
    <s v="PIXAR ANIMATION STUDIOS"/>
    <n v="1"/>
    <x v="5"/>
  </r>
  <r>
    <d v="2025-02-25T00:00:00"/>
    <s v="9989012769"/>
    <s v="PIXAR ANIMATION STUDIOS"/>
    <n v="1"/>
    <x v="6"/>
  </r>
  <r>
    <d v="2025-02-25T00:00:00"/>
    <s v="9989012769"/>
    <s v="PIXAR ANIMATION STUDIOS"/>
    <n v="1"/>
    <x v="7"/>
  </r>
  <r>
    <d v="2025-02-25T00:00:00"/>
    <s v="9989012770"/>
    <s v="THE MELT (455 MARKET)"/>
    <n v="1"/>
    <x v="8"/>
  </r>
  <r>
    <d v="2025-02-25T00:00:00"/>
    <s v="9989012770"/>
    <s v="THE MELT (455 MARKET)"/>
    <n v="1"/>
    <x v="5"/>
  </r>
  <r>
    <d v="2025-02-25T00:00:00"/>
    <s v="9989012770"/>
    <s v="THE MELT (455 MARKET)"/>
    <n v="1"/>
    <x v="15"/>
  </r>
  <r>
    <d v="2025-02-25T00:00:00"/>
    <s v="9989012771"/>
    <s v="THE DEAD FISH"/>
    <n v="1"/>
    <x v="26"/>
  </r>
  <r>
    <d v="2025-02-25T00:00:00"/>
    <s v="9989012771"/>
    <s v="THE DEAD FISH"/>
    <n v="1"/>
    <x v="13"/>
  </r>
  <r>
    <d v="2025-02-25T00:00:00"/>
    <s v="9989012771"/>
    <s v="THE DEAD FISH"/>
    <n v="1"/>
    <x v="27"/>
  </r>
  <r>
    <d v="2025-02-25T00:00:00"/>
    <s v="9989012771"/>
    <s v="THE DEAD FISH"/>
    <n v="2"/>
    <x v="24"/>
  </r>
  <r>
    <d v="2025-02-25T00:00:00"/>
    <s v="9989012771"/>
    <s v="THE DEAD FISH"/>
    <n v="1"/>
    <x v="7"/>
  </r>
  <r>
    <d v="2025-02-25T00:00:00"/>
    <s v="9989012771"/>
    <s v="THE DEAD FISH"/>
    <n v="1"/>
    <x v="7"/>
  </r>
  <r>
    <d v="2025-02-25T00:00:00"/>
    <s v="9989012772"/>
    <s v="STARBIRD CHICKEN - SF CLOUD"/>
    <n v="4"/>
    <x v="1"/>
  </r>
  <r>
    <d v="2025-02-25T00:00:00"/>
    <s v="9989012772"/>
    <s v="STARBIRD CHICKEN - SF CLOUD"/>
    <n v="4"/>
    <x v="3"/>
  </r>
  <r>
    <d v="2025-02-25T00:00:00"/>
    <s v="9989012772"/>
    <s v="STARBIRD CHICKEN - SF CLOUD"/>
    <n v="3"/>
    <x v="4"/>
  </r>
  <r>
    <d v="2025-02-25T00:00:00"/>
    <s v="9989012772"/>
    <s v="STARBIRD CHICKEN - SF CLOUD"/>
    <n v="1"/>
    <x v="11"/>
  </r>
  <r>
    <d v="2025-02-25T00:00:00"/>
    <s v="9989012773"/>
    <s v="WAREHOUSE CAFE"/>
    <n v="2"/>
    <x v="8"/>
  </r>
  <r>
    <d v="2025-02-25T00:00:00"/>
    <s v="9989012773"/>
    <s v="WAREHOUSE CAFE"/>
    <n v="1"/>
    <x v="15"/>
  </r>
  <r>
    <d v="2025-02-25T00:00:00"/>
    <s v="9989012773"/>
    <s v="WAREHOUSE CAFE"/>
    <n v="1"/>
    <x v="12"/>
  </r>
  <r>
    <d v="2025-02-25T00:00:00"/>
    <s v="9989012775"/>
    <s v="ANTLERS"/>
    <n v="1"/>
    <x v="13"/>
  </r>
  <r>
    <d v="2025-02-25T00:00:00"/>
    <s v="9989012775"/>
    <s v="ANTLERS"/>
    <n v="1"/>
    <x v="27"/>
  </r>
  <r>
    <d v="2025-02-25T00:00:00"/>
    <s v="9989012775"/>
    <s v="ANTLERS"/>
    <n v="1"/>
    <x v="14"/>
  </r>
  <r>
    <d v="2025-02-25T00:00:00"/>
    <s v="9989012776"/>
    <s v="SCOMAS RESTAURANT"/>
    <n v="1"/>
    <x v="12"/>
  </r>
  <r>
    <d v="2025-02-25T00:00:00"/>
    <s v="9989012776"/>
    <s v="SCOMAS RESTAURANT"/>
    <n v="1"/>
    <x v="15"/>
  </r>
  <r>
    <d v="2025-02-25T00:00:00"/>
    <s v="9989012776"/>
    <s v="SCOMAS RESTAURANT"/>
    <n v="2"/>
    <x v="18"/>
  </r>
  <r>
    <d v="2025-02-25T00:00:00"/>
    <s v="9989012777"/>
    <s v="CAFE SOLIEL"/>
    <n v="1"/>
    <x v="13"/>
  </r>
  <r>
    <d v="2025-02-25T00:00:00"/>
    <s v="9989012777"/>
    <s v="CAFE SOLIEL"/>
    <n v="1"/>
    <x v="9"/>
  </r>
  <r>
    <d v="2025-02-25T00:00:00"/>
    <s v="9989012777"/>
    <s v="CAFE SOLIEL"/>
    <n v="1"/>
    <x v="5"/>
  </r>
  <r>
    <d v="2025-02-25T00:00:00"/>
    <s v="9989012777"/>
    <s v="CAFE SOLIEL"/>
    <n v="1"/>
    <x v="10"/>
  </r>
  <r>
    <d v="2025-02-25T00:00:00"/>
    <s v="9989012778"/>
    <s v="UCSF MEDICAL CENTER MISSION BAY"/>
    <n v="2"/>
    <x v="26"/>
  </r>
  <r>
    <d v="2025-02-25T00:00:00"/>
    <s v="9989012778"/>
    <s v="UCSF MEDICAL CENTER MISSION BAY"/>
    <n v="2"/>
    <x v="25"/>
  </r>
  <r>
    <d v="2025-02-25T00:00:00"/>
    <s v="9989012778"/>
    <s v="UCSF MEDICAL CENTER MISSION BAY"/>
    <n v="1"/>
    <x v="31"/>
  </r>
  <r>
    <d v="2025-02-25T00:00:00"/>
    <s v="9989012778"/>
    <s v="UCSF MEDICAL CENTER MISSION BAY"/>
    <n v="2"/>
    <x v="32"/>
  </r>
  <r>
    <d v="2025-02-25T00:00:00"/>
    <s v="9989012778"/>
    <s v="UCSF MEDICAL CENTER MISSION BAY"/>
    <n v="2"/>
    <x v="34"/>
  </r>
  <r>
    <d v="2025-02-25T00:00:00"/>
    <s v="9989012778"/>
    <s v="UCSF MEDICAL CENTER MISSION BAY"/>
    <n v="2"/>
    <x v="36"/>
  </r>
  <r>
    <d v="2025-02-25T00:00:00"/>
    <s v="9989012778"/>
    <s v="UCSF MEDICAL CENTER MISSION BAY"/>
    <n v="1"/>
    <x v="31"/>
  </r>
  <r>
    <d v="2025-02-25T00:00:00"/>
    <s v="9989012779"/>
    <s v="BARNEY MC BEARS LLC"/>
    <n v="1"/>
    <x v="21"/>
  </r>
  <r>
    <d v="2025-02-25T00:00:00"/>
    <s v="9989012779"/>
    <s v="BARNEY MC BEARS LLC"/>
    <n v="1"/>
    <x v="22"/>
  </r>
  <r>
    <d v="2025-02-25T00:00:00"/>
    <s v="9989012779"/>
    <s v="BARNEY MC BEARS LLC"/>
    <n v="1"/>
    <x v="12"/>
  </r>
  <r>
    <d v="2025-02-25T00:00:00"/>
    <s v="9989012781"/>
    <s v="THE MELT (IRVINE SPECTRUM)"/>
    <n v="1"/>
    <x v="16"/>
  </r>
  <r>
    <d v="2025-02-25T00:00:00"/>
    <s v="9989012781"/>
    <s v="THE MELT (IRVINE SPECTRUM)"/>
    <n v="4"/>
    <x v="8"/>
  </r>
  <r>
    <d v="2025-02-25T00:00:00"/>
    <s v="9989012781"/>
    <s v="THE MELT (IRVINE SPECTRUM)"/>
    <n v="2"/>
    <x v="15"/>
  </r>
  <r>
    <d v="2025-02-25T00:00:00"/>
    <s v="9989012781"/>
    <s v="THE MELT (IRVINE SPECTRUM)"/>
    <n v="1"/>
    <x v="10"/>
  </r>
  <r>
    <d v="2025-02-25T00:00:00"/>
    <s v="9989012781"/>
    <s v="THE MELT (IRVINE SPECTRUM)"/>
    <n v="2"/>
    <x v="12"/>
  </r>
  <r>
    <d v="2025-02-25T00:00:00"/>
    <s v="9989012781"/>
    <s v="THE MELT (IRVINE SPECTRUM)"/>
    <n v="1"/>
    <x v="9"/>
  </r>
  <r>
    <d v="2025-02-25T00:00:00"/>
    <s v="9989012781"/>
    <s v="THE MELT (IRVINE SPECTRUM)"/>
    <n v="4"/>
    <x v="5"/>
  </r>
  <r>
    <d v="2025-02-25T00:00:00"/>
    <s v="9989012782"/>
    <s v="VOGUE THEATRE"/>
    <n v="2"/>
    <x v="8"/>
  </r>
  <r>
    <d v="2025-02-25T00:00:00"/>
    <s v="9989012782"/>
    <s v="VOGUE THEATRE"/>
    <n v="3"/>
    <x v="15"/>
  </r>
  <r>
    <d v="2025-02-25T00:00:00"/>
    <s v="9989012782"/>
    <s v="VOGUE THEATRE"/>
    <n v="1"/>
    <x v="5"/>
  </r>
  <r>
    <d v="2025-02-25T00:00:00"/>
    <s v="9989012783"/>
    <s v="HOMEROOM - BERKELEY"/>
    <n v="2"/>
    <x v="8"/>
  </r>
  <r>
    <d v="2025-02-25T00:00:00"/>
    <s v="9989012783"/>
    <s v="HOMEROOM - BERKELEY"/>
    <n v="1"/>
    <x v="12"/>
  </r>
  <r>
    <d v="2025-02-25T00:00:00"/>
    <s v="9989012783"/>
    <s v="HOMEROOM - BERKELEY"/>
    <n v="1"/>
    <x v="5"/>
  </r>
  <r>
    <d v="2025-02-25T00:00:00"/>
    <s v="9989012783"/>
    <s v="HOMEROOM - BERKELEY"/>
    <n v="1"/>
    <x v="15"/>
  </r>
  <r>
    <d v="2025-02-25T00:00:00"/>
    <s v="9989012784"/>
    <s v="BERKELEY TAP HAUS"/>
    <n v="1"/>
    <x v="8"/>
  </r>
  <r>
    <d v="2025-02-25T00:00:00"/>
    <s v="9989012784"/>
    <s v="BERKELEY TAP HAUS"/>
    <n v="1"/>
    <x v="12"/>
  </r>
  <r>
    <d v="2025-02-25T00:00:00"/>
    <s v="9989012785"/>
    <s v="JUANS PLACE"/>
    <n v="1"/>
    <x v="26"/>
  </r>
  <r>
    <d v="2025-02-25T00:00:00"/>
    <s v="9989012785"/>
    <s v="JUANS PLACE"/>
    <n v="1"/>
    <x v="13"/>
  </r>
  <r>
    <d v="2025-02-25T00:00:00"/>
    <s v="9989012785"/>
    <s v="JUANS PLACE"/>
    <n v="1"/>
    <x v="30"/>
  </r>
  <r>
    <d v="2025-02-25T00:00:00"/>
    <s v="9989012785"/>
    <s v="JUANS PLACE"/>
    <n v="1"/>
    <x v="9"/>
  </r>
  <r>
    <d v="2025-02-25T00:00:00"/>
    <s v="9989012786"/>
    <s v="PIZZERIA PAPPO"/>
    <n v="1"/>
    <x v="3"/>
  </r>
  <r>
    <d v="2025-02-25T00:00:00"/>
    <s v="9989012786"/>
    <s v="PIZZERIA PAPPO"/>
    <n v="4"/>
    <x v="4"/>
  </r>
  <r>
    <d v="2025-02-25T00:00:00"/>
    <s v="9989012786"/>
    <s v="PIZZERIA PAPPO"/>
    <n v="2"/>
    <x v="2"/>
  </r>
  <r>
    <d v="2025-02-25T00:00:00"/>
    <s v="9989012786"/>
    <s v="PIZZERIA PAPPO"/>
    <n v="1"/>
    <x v="11"/>
  </r>
  <r>
    <d v="2025-02-25T00:00:00"/>
    <s v="9989012786"/>
    <s v="PIZZERIA PAPPO"/>
    <n v="2"/>
    <x v="1"/>
  </r>
  <r>
    <d v="2025-02-26T00:00:00"/>
    <s v="9989012787"/>
    <s v="BEST WESTERN EL RANCHO INN"/>
    <n v="2"/>
    <x v="25"/>
  </r>
  <r>
    <d v="2025-02-26T00:00:00"/>
    <s v="9989012787"/>
    <s v="BEST WESTERN EL RANCHO INN"/>
    <n v="2"/>
    <x v="21"/>
  </r>
  <r>
    <d v="2025-02-26T00:00:00"/>
    <s v="9989012787"/>
    <s v="BEST WESTERN EL RANCHO INN"/>
    <n v="1"/>
    <x v="14"/>
  </r>
  <r>
    <d v="2025-02-26T00:00:00"/>
    <s v="9989012788"/>
    <s v="STARBIRD CHICKEN - FOSTER CITY"/>
    <n v="4"/>
    <x v="8"/>
  </r>
  <r>
    <d v="2025-02-26T00:00:00"/>
    <s v="9989012788"/>
    <s v="STARBIRD CHICKEN - FOSTER CITY"/>
    <n v="3"/>
    <x v="15"/>
  </r>
  <r>
    <d v="2025-02-26T00:00:00"/>
    <s v="9989012788"/>
    <s v="STARBIRD CHICKEN - FOSTER CITY"/>
    <n v="1"/>
    <x v="12"/>
  </r>
  <r>
    <d v="2025-02-26T00:00:00"/>
    <s v="9989012788"/>
    <s v="STARBIRD CHICKEN - FOSTER CITY"/>
    <n v="3"/>
    <x v="10"/>
  </r>
  <r>
    <d v="2025-02-26T00:00:00"/>
    <s v="9989012788"/>
    <s v="STARBIRD CHICKEN - FOSTER CITY"/>
    <n v="1"/>
    <x v="5"/>
  </r>
  <r>
    <d v="2025-02-26T00:00:00"/>
    <s v="9989012788"/>
    <s v="STARBIRD CHICKEN - FOSTER CITY"/>
    <n v="3"/>
    <x v="17"/>
  </r>
  <r>
    <d v="2025-02-26T00:00:00"/>
    <s v="9989012788"/>
    <s v="STARBIRD CHICKEN - FOSTER CITY"/>
    <n v="1"/>
    <x v="23"/>
  </r>
  <r>
    <d v="2025-02-26T00:00:00"/>
    <s v="9989012788"/>
    <s v="STARBIRD CHICKEN - FOSTER CITY"/>
    <n v="3"/>
    <x v="1"/>
  </r>
  <r>
    <d v="2025-02-26T00:00:00"/>
    <s v="9989012788"/>
    <s v="STARBIRD CHICKEN - FOSTER CITY"/>
    <n v="3"/>
    <x v="11"/>
  </r>
  <r>
    <d v="2025-02-26T00:00:00"/>
    <s v="9989012788"/>
    <s v="STARBIRD CHICKEN - FOSTER CITY"/>
    <n v="3"/>
    <x v="4"/>
  </r>
  <r>
    <d v="2025-02-26T00:00:00"/>
    <s v="9989012788"/>
    <s v="STARBIRD CHICKEN - FOSTER CITY"/>
    <n v="1"/>
    <x v="3"/>
  </r>
  <r>
    <d v="2025-02-26T00:00:00"/>
    <s v="9989012788"/>
    <s v="STARBIRD CHICKEN - FOSTER CITY"/>
    <n v="1"/>
    <x v="23"/>
  </r>
  <r>
    <d v="2025-02-26T00:00:00"/>
    <s v="9989012789"/>
    <s v="HALF MOON BAY YACHT CLUB"/>
    <n v="2"/>
    <x v="38"/>
  </r>
  <r>
    <d v="2025-02-26T00:00:00"/>
    <s v="9989012790"/>
    <s v="CAMERONS RESTAURANT &amp; PUB"/>
    <n v="2"/>
    <x v="8"/>
  </r>
  <r>
    <d v="2025-02-26T00:00:00"/>
    <s v="9989012790"/>
    <s v="CAMERONS RESTAURANT &amp; PUB"/>
    <n v="2"/>
    <x v="15"/>
  </r>
  <r>
    <d v="2025-02-26T00:00:00"/>
    <s v="9989012790"/>
    <s v="CAMERONS RESTAURANT &amp; PUB"/>
    <n v="1"/>
    <x v="5"/>
  </r>
  <r>
    <d v="2025-02-26T00:00:00"/>
    <s v="9989012790"/>
    <s v="CAMERONS RESTAURANT &amp; PUB"/>
    <n v="1"/>
    <x v="24"/>
  </r>
  <r>
    <d v="2025-02-26T00:00:00"/>
    <s v="9989012790"/>
    <s v="CAMERONS RESTAURANT &amp; PUB"/>
    <n v="1"/>
    <x v="19"/>
  </r>
  <r>
    <d v="2025-02-26T00:00:00"/>
    <s v="9989012791"/>
    <s v="STARBIRD CHICKEN - PALO ALTO"/>
    <n v="3"/>
    <x v="8"/>
  </r>
  <r>
    <d v="2025-02-26T00:00:00"/>
    <s v="9989012791"/>
    <s v="STARBIRD CHICKEN - PALO ALTO"/>
    <n v="2"/>
    <x v="15"/>
  </r>
  <r>
    <d v="2025-02-26T00:00:00"/>
    <s v="9989012791"/>
    <s v="STARBIRD CHICKEN - PALO ALTO"/>
    <n v="5"/>
    <x v="5"/>
  </r>
  <r>
    <d v="2025-02-26T00:00:00"/>
    <s v="9989012791"/>
    <s v="STARBIRD CHICKEN - PALO ALTO"/>
    <n v="2"/>
    <x v="12"/>
  </r>
  <r>
    <d v="2025-02-26T00:00:00"/>
    <s v="9989012791"/>
    <s v="STARBIRD CHICKEN - PALO ALTO"/>
    <n v="2"/>
    <x v="10"/>
  </r>
  <r>
    <d v="2025-02-26T00:00:00"/>
    <s v="9989012791"/>
    <s v="STARBIRD CHICKEN - PALO ALTO"/>
    <n v="2"/>
    <x v="11"/>
  </r>
  <r>
    <d v="2025-02-26T00:00:00"/>
    <s v="9989012791"/>
    <s v="STARBIRD CHICKEN - PALO ALTO"/>
    <n v="3"/>
    <x v="1"/>
  </r>
  <r>
    <d v="2025-02-26T00:00:00"/>
    <s v="9989012791"/>
    <s v="STARBIRD CHICKEN - PALO ALTO"/>
    <n v="2"/>
    <x v="3"/>
  </r>
  <r>
    <d v="2025-02-26T00:00:00"/>
    <s v="9989012791"/>
    <s v="STARBIRD CHICKEN - PALO ALTO"/>
    <n v="1"/>
    <x v="4"/>
  </r>
  <r>
    <d v="2025-02-26T00:00:00"/>
    <s v="9989012792"/>
    <s v="THE MELT (STANFORD)"/>
    <n v="1"/>
    <x v="12"/>
  </r>
  <r>
    <d v="2025-02-26T00:00:00"/>
    <s v="9989012792"/>
    <s v="THE MELT (STANFORD)"/>
    <n v="1"/>
    <x v="9"/>
  </r>
  <r>
    <d v="2025-02-26T00:00:00"/>
    <s v="9989012792"/>
    <s v="THE MELT (STANFORD)"/>
    <n v="1"/>
    <x v="8"/>
  </r>
  <r>
    <d v="2025-02-26T00:00:00"/>
    <s v="9989012792"/>
    <s v="THE MELT (STANFORD)"/>
    <n v="1"/>
    <x v="15"/>
  </r>
  <r>
    <d v="2025-02-26T00:00:00"/>
    <s v="9989012792"/>
    <s v="THE MELT (STANFORD)"/>
    <n v="1"/>
    <x v="5"/>
  </r>
  <r>
    <d v="2025-02-26T00:00:00"/>
    <s v="9989012793"/>
    <s v="MONTE CARLO"/>
    <n v="2"/>
    <x v="22"/>
  </r>
  <r>
    <d v="2025-02-26T00:00:00"/>
    <s v="9989012794"/>
    <s v="EAST BAY NATURAL GROCERY-CV"/>
    <n v="3"/>
    <x v="1"/>
  </r>
  <r>
    <d v="2025-02-26T00:00:00"/>
    <s v="9989012794"/>
    <s v="EAST BAY NATURAL GROCERY-CV"/>
    <n v="2"/>
    <x v="0"/>
  </r>
  <r>
    <d v="2025-02-26T00:00:00"/>
    <s v="9989012794"/>
    <s v="EAST BAY NATURAL GROCERY-CV"/>
    <n v="2"/>
    <x v="3"/>
  </r>
  <r>
    <d v="2025-02-26T00:00:00"/>
    <s v="9989012794"/>
    <s v="EAST BAY NATURAL GROCERY-CV"/>
    <n v="2"/>
    <x v="4"/>
  </r>
  <r>
    <d v="2025-02-26T00:00:00"/>
    <s v="9989012795"/>
    <s v="BERTS STADIUM SPORTS BAR"/>
    <n v="1"/>
    <x v="8"/>
  </r>
  <r>
    <d v="2025-02-26T00:00:00"/>
    <s v="9989012795"/>
    <s v="BERTS STADIUM SPORTS BAR"/>
    <n v="1"/>
    <x v="14"/>
  </r>
  <r>
    <d v="2025-02-26T00:00:00"/>
    <s v="9989012796"/>
    <s v="STARBIRD CHICKEN - PLEASANTON"/>
    <n v="1"/>
    <x v="15"/>
  </r>
  <r>
    <d v="2025-02-26T00:00:00"/>
    <s v="9989012796"/>
    <s v="STARBIRD CHICKEN - PLEASANTON"/>
    <n v="1"/>
    <x v="12"/>
  </r>
  <r>
    <d v="2025-02-26T00:00:00"/>
    <s v="9989012796"/>
    <s v="STARBIRD CHICKEN - PLEASANTON"/>
    <n v="1"/>
    <x v="10"/>
  </r>
  <r>
    <d v="2025-02-26T00:00:00"/>
    <s v="9989012796"/>
    <s v="STARBIRD CHICKEN - PLEASANTON"/>
    <n v="1"/>
    <x v="5"/>
  </r>
  <r>
    <d v="2025-02-26T00:00:00"/>
    <s v="9989012796"/>
    <s v="STARBIRD CHICKEN - PLEASANTON"/>
    <n v="1"/>
    <x v="17"/>
  </r>
  <r>
    <d v="2025-02-26T00:00:00"/>
    <s v="9989012796"/>
    <s v="STARBIRD CHICKEN - PLEASANTON"/>
    <n v="1"/>
    <x v="4"/>
  </r>
  <r>
    <d v="2025-02-26T00:00:00"/>
    <s v="9989012797"/>
    <s v="CALI KID BURGERS AND SHAKES"/>
    <n v="1"/>
    <x v="8"/>
  </r>
  <r>
    <d v="2025-02-26T00:00:00"/>
    <s v="9989012797"/>
    <s v="CALI KID BURGERS AND SHAKES"/>
    <n v="1"/>
    <x v="15"/>
  </r>
  <r>
    <d v="2025-02-26T00:00:00"/>
    <s v="9989012797"/>
    <s v="CALI KID BURGERS AND SHAKES"/>
    <n v="1"/>
    <x v="9"/>
  </r>
  <r>
    <d v="2025-02-26T00:00:00"/>
    <s v="9989012797"/>
    <s v="CALI KID BURGERS AND SHAKES"/>
    <n v="1"/>
    <x v="6"/>
  </r>
  <r>
    <d v="2025-02-26T00:00:00"/>
    <s v="9989012797"/>
    <s v="CALI KID BURGERS AND SHAKES"/>
    <n v="1"/>
    <x v="17"/>
  </r>
  <r>
    <d v="2025-02-26T00:00:00"/>
    <s v="9989012798"/>
    <s v="AVIATION ROOFTOP BAR AND KITCHEN"/>
    <n v="1"/>
    <x v="8"/>
  </r>
  <r>
    <d v="2025-02-26T00:00:00"/>
    <s v="9989012799"/>
    <s v="DANVILLE BREWERY"/>
    <n v="1"/>
    <x v="5"/>
  </r>
  <r>
    <d v="2025-02-26T00:00:00"/>
    <s v="9989012799"/>
    <s v="DANVILLE BREWERY"/>
    <n v="1"/>
    <x v="9"/>
  </r>
  <r>
    <d v="2025-02-26T00:00:00"/>
    <s v="9989012799"/>
    <s v="DANVILLE BREWERY"/>
    <n v="1"/>
    <x v="26"/>
  </r>
  <r>
    <d v="2025-02-26T00:00:00"/>
    <s v="9989012800"/>
    <s v="BRIX BEVERAGE - SAMPLING"/>
    <n v="1"/>
    <x v="4"/>
  </r>
  <r>
    <d v="2025-02-26T00:00:00"/>
    <s v="9989012801"/>
    <s v="NICA LOUNGE"/>
    <n v="1"/>
    <x v="27"/>
  </r>
  <r>
    <d v="2025-02-26T00:00:00"/>
    <s v="9989012801"/>
    <s v="NICA LOUNGE"/>
    <n v="1"/>
    <x v="21"/>
  </r>
  <r>
    <d v="2025-02-26T00:00:00"/>
    <s v="9989012801"/>
    <s v="NICA LOUNGE"/>
    <n v="3"/>
    <x v="14"/>
  </r>
  <r>
    <d v="2025-02-27T00:00:00"/>
    <s v="9989012802"/>
    <s v="HELLO STRANGER"/>
    <n v="1"/>
    <x v="14"/>
  </r>
  <r>
    <d v="2025-02-27T00:00:00"/>
    <s v="9989012802"/>
    <s v="HELLO STRANGER"/>
    <n v="1"/>
    <x v="10"/>
  </r>
  <r>
    <d v="2025-02-27T00:00:00"/>
    <s v="9989012802"/>
    <s v="HELLO STRANGER"/>
    <n v="3"/>
    <x v="28"/>
  </r>
  <r>
    <d v="2025-02-27T00:00:00"/>
    <s v="9989012803"/>
    <s v="CRYBABY"/>
    <n v="1"/>
    <x v="8"/>
  </r>
  <r>
    <d v="2025-02-27T00:00:00"/>
    <s v="9989012803"/>
    <s v="CRYBABY"/>
    <n v="2"/>
    <x v="28"/>
  </r>
  <r>
    <d v="2025-02-27T00:00:00"/>
    <s v="9989012803"/>
    <s v="CRYBABY"/>
    <n v="1"/>
    <x v="14"/>
  </r>
  <r>
    <d v="2025-02-27T00:00:00"/>
    <s v="9989012803"/>
    <s v="CRYBABY"/>
    <n v="1"/>
    <x v="10"/>
  </r>
  <r>
    <d v="2025-02-27T00:00:00"/>
    <s v="9989012803"/>
    <s v="CRYBABY"/>
    <n v="1"/>
    <x v="12"/>
  </r>
  <r>
    <d v="2025-02-27T00:00:00"/>
    <s v="9989012804"/>
    <s v="THE YARD"/>
    <n v="3"/>
    <x v="7"/>
  </r>
  <r>
    <d v="2025-02-27T00:00:00"/>
    <s v="9989012804"/>
    <s v="THE YARD"/>
    <n v="3"/>
    <x v="5"/>
  </r>
  <r>
    <d v="2025-02-27T00:00:00"/>
    <s v="9989012804"/>
    <s v="THE YARD"/>
    <n v="2"/>
    <x v="17"/>
  </r>
  <r>
    <d v="2025-02-27T00:00:00"/>
    <s v="9989012804"/>
    <s v="THE YARD"/>
    <n v="2"/>
    <x v="27"/>
  </r>
  <r>
    <d v="2025-02-27T00:00:00"/>
    <s v="9989012804"/>
    <s v="THE YARD"/>
    <n v="2"/>
    <x v="13"/>
  </r>
  <r>
    <d v="2025-02-27T00:00:00"/>
    <s v="9989012805"/>
    <s v="BOHEMIAN CLUB"/>
    <n v="6"/>
    <x v="8"/>
  </r>
  <r>
    <d v="2025-02-27T00:00:00"/>
    <s v="9989012806"/>
    <s v="VINE &amp; GRAIN"/>
    <n v="1"/>
    <x v="13"/>
  </r>
  <r>
    <d v="2025-02-27T00:00:00"/>
    <s v="9989012807"/>
    <s v="OAKWOOD ATHLETIC CLUB"/>
    <n v="1"/>
    <x v="8"/>
  </r>
  <r>
    <d v="2025-02-27T00:00:00"/>
    <s v="9989012808"/>
    <s v="MONROE"/>
    <n v="1"/>
    <x v="39"/>
  </r>
  <r>
    <d v="2025-02-27T00:00:00"/>
    <s v="9989012808"/>
    <s v="MONROE"/>
    <n v="3"/>
    <x v="18"/>
  </r>
  <r>
    <d v="2025-02-27T00:00:00"/>
    <s v="9989012808"/>
    <s v="MONROE"/>
    <n v="1"/>
    <x v="14"/>
  </r>
  <r>
    <d v="2025-02-27T00:00:00"/>
    <s v="9989012808"/>
    <s v="MONROE"/>
    <n v="1"/>
    <x v="28"/>
  </r>
  <r>
    <d v="2025-02-27T00:00:00"/>
    <s v="9989012808"/>
    <s v="MONROE"/>
    <n v="1"/>
    <x v="19"/>
  </r>
  <r>
    <d v="2025-02-27T00:00:00"/>
    <s v="9989012809"/>
    <s v="THE AVENUE"/>
    <n v="1"/>
    <x v="15"/>
  </r>
  <r>
    <d v="2025-02-27T00:00:00"/>
    <s v="9989012809"/>
    <s v="THE AVENUE"/>
    <n v="1"/>
    <x v="8"/>
  </r>
  <r>
    <d v="2025-02-27T00:00:00"/>
    <s v="9989012809"/>
    <s v="THE AVENUE"/>
    <n v="1"/>
    <x v="12"/>
  </r>
  <r>
    <d v="2025-02-27T00:00:00"/>
    <s v="9989012809"/>
    <s v="THE AVENUE"/>
    <n v="1"/>
    <x v="10"/>
  </r>
  <r>
    <d v="2025-02-27T00:00:00"/>
    <s v="9989012810"/>
    <s v="ITALIAN COLORS"/>
    <n v="1"/>
    <x v="15"/>
  </r>
  <r>
    <d v="2025-02-27T00:00:00"/>
    <s v="9989012810"/>
    <s v="ITALIAN COLORS"/>
    <n v="1"/>
    <x v="8"/>
  </r>
  <r>
    <d v="2025-02-27T00:00:00"/>
    <s v="9989012810"/>
    <s v="ITALIAN COLORS"/>
    <n v="1"/>
    <x v="12"/>
  </r>
  <r>
    <d v="2025-02-27T00:00:00"/>
    <s v="9989012813"/>
    <s v="THE STUD"/>
    <n v="2"/>
    <x v="10"/>
  </r>
  <r>
    <d v="2025-02-27T00:00:00"/>
    <s v="9989012814"/>
    <s v="MASSIMOS RESTAURANT INC."/>
    <n v="4"/>
    <x v="8"/>
  </r>
  <r>
    <d v="2025-02-27T00:00:00"/>
    <s v="9989012814"/>
    <s v="MASSIMOS RESTAURANT INC."/>
    <n v="1"/>
    <x v="18"/>
  </r>
  <r>
    <d v="2025-02-27T00:00:00"/>
    <s v="9989012814"/>
    <s v="MASSIMOS RESTAURANT INC."/>
    <n v="2"/>
    <x v="24"/>
  </r>
  <r>
    <d v="2025-02-27T00:00:00"/>
    <s v="9989012814"/>
    <s v="MASSIMOS RESTAURANT INC."/>
    <n v="2"/>
    <x v="12"/>
  </r>
  <r>
    <d v="2025-02-27T00:00:00"/>
    <s v="9989012814"/>
    <s v="MASSIMOS RESTAURANT INC."/>
    <n v="1"/>
    <x v="24"/>
  </r>
  <r>
    <d v="2025-02-27T00:00:00"/>
    <s v="9989012816"/>
    <s v="ARAMARK dba LIFEWORKS - CISCO"/>
    <n v="1"/>
    <x v="8"/>
  </r>
  <r>
    <d v="2025-02-27T00:00:00"/>
    <s v="9989012816"/>
    <s v="ARAMARK dba LIFEWORKS - CISCO"/>
    <n v="1"/>
    <x v="12"/>
  </r>
  <r>
    <d v="2025-02-27T00:00:00"/>
    <s v="9989012816"/>
    <s v="ARAMARK dba LIFEWORKS - CISCO"/>
    <n v="1"/>
    <x v="5"/>
  </r>
  <r>
    <d v="2025-02-27T00:00:00"/>
    <s v="9989012816"/>
    <s v="ARAMARK dba LIFEWORKS - CISCO"/>
    <n v="1"/>
    <x v="19"/>
  </r>
  <r>
    <d v="2025-02-27T00:00:00"/>
    <s v="9989012816"/>
    <s v="ARAMARK dba LIFEWORKS - CISCO"/>
    <n v="1"/>
    <x v="9"/>
  </r>
  <r>
    <d v="2025-02-27T00:00:00"/>
    <s v="9989012817"/>
    <s v="THE MELT (GAS LAMP SAN DIEGO)"/>
    <n v="2"/>
    <x v="16"/>
  </r>
  <r>
    <d v="2025-02-27T00:00:00"/>
    <s v="9989012817"/>
    <s v="THE MELT (GAS LAMP SAN DIEGO)"/>
    <n v="3"/>
    <x v="8"/>
  </r>
  <r>
    <d v="2025-02-27T00:00:00"/>
    <s v="9989012817"/>
    <s v="THE MELT (GAS LAMP SAN DIEGO)"/>
    <n v="1"/>
    <x v="15"/>
  </r>
  <r>
    <d v="2025-02-27T00:00:00"/>
    <s v="9989012817"/>
    <s v="THE MELT (GAS LAMP SAN DIEGO)"/>
    <n v="2"/>
    <x v="10"/>
  </r>
  <r>
    <d v="2025-02-27T00:00:00"/>
    <s v="9989012817"/>
    <s v="THE MELT (GAS LAMP SAN DIEGO)"/>
    <n v="2"/>
    <x v="12"/>
  </r>
  <r>
    <d v="2025-02-27T00:00:00"/>
    <s v="9989012817"/>
    <s v="THE MELT (GAS LAMP SAN DIEGO)"/>
    <n v="2"/>
    <x v="9"/>
  </r>
  <r>
    <d v="2025-02-27T00:00:00"/>
    <s v="9989012817"/>
    <s v="THE MELT (GAS LAMP SAN DIEGO)"/>
    <n v="3"/>
    <x v="5"/>
  </r>
  <r>
    <d v="2025-02-27T00:00:00"/>
    <s v="9989012818"/>
    <s v="THE MELT (LA JOLLA)"/>
    <n v="2"/>
    <x v="16"/>
  </r>
  <r>
    <d v="2025-02-27T00:00:00"/>
    <s v="9989012818"/>
    <s v="THE MELT (LA JOLLA)"/>
    <n v="2"/>
    <x v="8"/>
  </r>
  <r>
    <d v="2025-02-27T00:00:00"/>
    <s v="9989012818"/>
    <s v="THE MELT (LA JOLLA)"/>
    <n v="1"/>
    <x v="12"/>
  </r>
  <r>
    <d v="2025-02-27T00:00:00"/>
    <s v="9989012818"/>
    <s v="THE MELT (LA JOLLA)"/>
    <n v="1"/>
    <x v="9"/>
  </r>
  <r>
    <d v="2025-02-27T00:00:00"/>
    <s v="9989012818"/>
    <s v="THE MELT (LA JOLLA)"/>
    <n v="2"/>
    <x v="5"/>
  </r>
  <r>
    <d v="2025-02-27T00:00:00"/>
    <s v="9989012819"/>
    <s v="LUNA LOCA (JAINS FOODS)"/>
    <n v="2"/>
    <x v="15"/>
  </r>
  <r>
    <d v="2025-02-27T00:00:00"/>
    <s v="9989012819"/>
    <s v="LUNA LOCA (JAINS FOODS)"/>
    <n v="2"/>
    <x v="8"/>
  </r>
  <r>
    <d v="2025-02-27T00:00:00"/>
    <s v="9989012819"/>
    <s v="LUNA LOCA (JAINS FOODS)"/>
    <n v="1"/>
    <x v="12"/>
  </r>
  <r>
    <d v="2025-02-27T00:00:00"/>
    <s v="9989012819"/>
    <s v="LUNA LOCA (JAINS FOODS)"/>
    <n v="1"/>
    <x v="7"/>
  </r>
  <r>
    <d v="2025-02-27T00:00:00"/>
    <s v="9989012819"/>
    <s v="LUNA LOCA (JAINS FOODS)"/>
    <n v="1"/>
    <x v="5"/>
  </r>
  <r>
    <d v="2025-02-27T00:00:00"/>
    <s v="9989012820"/>
    <s v="ESTUDILLO PRODUCE &amp; DELI"/>
    <n v="1"/>
    <x v="11"/>
  </r>
  <r>
    <d v="2025-02-27T00:00:00"/>
    <s v="9989012820"/>
    <s v="ESTUDILLO PRODUCE &amp; DELI"/>
    <n v="1"/>
    <x v="1"/>
  </r>
  <r>
    <d v="2025-02-27T00:00:00"/>
    <s v="9989012820"/>
    <s v="ESTUDILLO PRODUCE &amp; DELI"/>
    <n v="1"/>
    <x v="4"/>
  </r>
  <r>
    <d v="2025-02-27T00:00:00"/>
    <s v="9989012820"/>
    <s v="ESTUDILLO PRODUCE &amp; DELI"/>
    <n v="1"/>
    <x v="0"/>
  </r>
  <r>
    <d v="2025-02-27T00:00:00"/>
    <s v="9989012820"/>
    <s v="ESTUDILLO PRODUCE &amp; DELI"/>
    <n v="1"/>
    <x v="2"/>
  </r>
  <r>
    <d v="2025-02-27T00:00:00"/>
    <s v="9989012821"/>
    <s v="STARBIRD CHICKEN - SAN JOSE"/>
    <n v="1"/>
    <x v="11"/>
  </r>
  <r>
    <d v="2025-02-27T00:00:00"/>
    <s v="9989012821"/>
    <s v="STARBIRD CHICKEN - SAN JOSE"/>
    <n v="1"/>
    <x v="1"/>
  </r>
  <r>
    <d v="2025-02-27T00:00:00"/>
    <s v="9989012821"/>
    <s v="STARBIRD CHICKEN - SAN JOSE"/>
    <n v="1"/>
    <x v="3"/>
  </r>
  <r>
    <d v="2025-02-27T00:00:00"/>
    <s v="9989012821"/>
    <s v="STARBIRD CHICKEN - SAN JOSE"/>
    <n v="1"/>
    <x v="4"/>
  </r>
  <r>
    <d v="2025-02-27T00:00:00"/>
    <s v="9989012821"/>
    <s v="STARBIRD CHICKEN - SAN JOSE"/>
    <n v="2"/>
    <x v="8"/>
  </r>
  <r>
    <d v="2025-02-27T00:00:00"/>
    <s v="9989012821"/>
    <s v="STARBIRD CHICKEN - SAN JOSE"/>
    <n v="1"/>
    <x v="15"/>
  </r>
  <r>
    <d v="2025-02-27T00:00:00"/>
    <s v="9989012821"/>
    <s v="STARBIRD CHICKEN - SAN JOSE"/>
    <n v="2"/>
    <x v="5"/>
  </r>
  <r>
    <d v="2025-02-27T00:00:00"/>
    <s v="9989012821"/>
    <s v="STARBIRD CHICKEN - SAN JOSE"/>
    <n v="1"/>
    <x v="12"/>
  </r>
  <r>
    <d v="2025-02-27T00:00:00"/>
    <s v="9989012821"/>
    <s v="STARBIRD CHICKEN - SAN JOSE"/>
    <n v="1"/>
    <x v="10"/>
  </r>
  <r>
    <d v="2025-02-27T00:00:00"/>
    <s v="9989012822"/>
    <s v="MOLOTOVS ( TWO NICKELS)"/>
    <n v="1"/>
    <x v="8"/>
  </r>
  <r>
    <d v="2025-02-27T00:00:00"/>
    <s v="9989012822"/>
    <s v="MOLOTOVS ( TWO NICKELS)"/>
    <n v="1"/>
    <x v="19"/>
  </r>
  <r>
    <d v="2025-02-27T00:00:00"/>
    <s v="9989012823"/>
    <s v="SCOLARIS ON PARK ST"/>
    <n v="6"/>
    <x v="1"/>
  </r>
  <r>
    <d v="2025-02-27T00:00:00"/>
    <s v="9989012823"/>
    <s v="SCOLARIS ON PARK ST"/>
    <n v="4"/>
    <x v="4"/>
  </r>
  <r>
    <d v="2025-02-27T00:00:00"/>
    <s v="9989012823"/>
    <s v="SCOLARIS ON PARK ST"/>
    <n v="4"/>
    <x v="11"/>
  </r>
  <r>
    <d v="2025-02-27T00:00:00"/>
    <s v="9989012823"/>
    <s v="SCOLARIS ON PARK ST"/>
    <n v="4"/>
    <x v="2"/>
  </r>
  <r>
    <d v="2025-02-27T00:00:00"/>
    <s v="9989012823"/>
    <s v="SCOLARIS ON PARK ST"/>
    <n v="3"/>
    <x v="3"/>
  </r>
  <r>
    <d v="2025-02-27T00:00:00"/>
    <s v="9989012824"/>
    <s v="EL TENAMPA"/>
    <n v="3"/>
    <x v="28"/>
  </r>
  <r>
    <d v="2025-02-27T00:00:00"/>
    <s v="9989012824"/>
    <s v="EL TENAMPA"/>
    <n v="1"/>
    <x v="14"/>
  </r>
  <r>
    <d v="2025-02-27T00:00:00"/>
    <s v="9989012825"/>
    <s v="STARBIRD CHICKEN - CAMPBELL"/>
    <n v="2"/>
    <x v="11"/>
  </r>
  <r>
    <d v="2025-02-27T00:00:00"/>
    <s v="9989012825"/>
    <s v="STARBIRD CHICKEN - CAMPBELL"/>
    <n v="6"/>
    <x v="1"/>
  </r>
  <r>
    <d v="2025-02-27T00:00:00"/>
    <s v="9989012825"/>
    <s v="STARBIRD CHICKEN - CAMPBELL"/>
    <n v="6"/>
    <x v="4"/>
  </r>
  <r>
    <d v="2025-02-27T00:00:00"/>
    <s v="9989012825"/>
    <s v="STARBIRD CHICKEN - CAMPBELL"/>
    <n v="4"/>
    <x v="8"/>
  </r>
  <r>
    <d v="2025-02-27T00:00:00"/>
    <s v="9989012825"/>
    <s v="STARBIRD CHICKEN - CAMPBELL"/>
    <n v="5"/>
    <x v="5"/>
  </r>
  <r>
    <d v="2025-02-27T00:00:00"/>
    <s v="9989012825"/>
    <s v="STARBIRD CHICKEN - CAMPBELL"/>
    <n v="6"/>
    <x v="15"/>
  </r>
  <r>
    <d v="2025-02-27T00:00:00"/>
    <s v="9989012826"/>
    <s v="PORTAL OAKLAND INC"/>
    <n v="1"/>
    <x v="8"/>
  </r>
  <r>
    <d v="2025-02-27T00:00:00"/>
    <s v="9989012826"/>
    <s v="PORTAL OAKLAND INC"/>
    <n v="1"/>
    <x v="10"/>
  </r>
  <r>
    <d v="2025-02-27T00:00:00"/>
    <s v="9989012826"/>
    <s v="PORTAL OAKLAND INC"/>
    <n v="1"/>
    <x v="5"/>
  </r>
  <r>
    <d v="2025-02-27T00:00:00"/>
    <s v="9989012826"/>
    <s v="PORTAL OAKLAND INC"/>
    <n v="1"/>
    <x v="14"/>
  </r>
  <r>
    <d v="2025-02-27T00:00:00"/>
    <s v="9989012826"/>
    <s v="PORTAL OAKLAND INC"/>
    <n v="1"/>
    <x v="24"/>
  </r>
  <r>
    <d v="2025-02-27T00:00:00"/>
    <s v="9989012826"/>
    <s v="PORTAL OAKLAND INC"/>
    <n v="1"/>
    <x v="7"/>
  </r>
  <r>
    <d v="2025-02-28T00:00:00"/>
    <s v="9989012827"/>
    <s v="GATHER"/>
    <n v="2"/>
    <x v="11"/>
  </r>
  <r>
    <d v="2025-02-28T00:00:00"/>
    <s v="9989012827"/>
    <s v="GATHER"/>
    <n v="1"/>
    <x v="1"/>
  </r>
  <r>
    <d v="2025-02-28T00:00:00"/>
    <s v="9989012829"/>
    <s v="THE RED ONION - EL CERRITO"/>
    <n v="2"/>
    <x v="12"/>
  </r>
  <r>
    <d v="2025-02-28T00:00:00"/>
    <s v="9989012829"/>
    <s v="THE RED ONION - EL CERRITO"/>
    <n v="2"/>
    <x v="7"/>
  </r>
  <r>
    <d v="2025-02-28T00:00:00"/>
    <s v="9989012829"/>
    <s v="THE RED ONION - EL CERRITO"/>
    <n v="1"/>
    <x v="5"/>
  </r>
  <r>
    <d v="2025-02-28T00:00:00"/>
    <s v="9989012830"/>
    <s v="STARBIRD CHICKEN - CORTE MADERA"/>
    <n v="3"/>
    <x v="8"/>
  </r>
  <r>
    <d v="2025-02-28T00:00:00"/>
    <s v="9989012830"/>
    <s v="STARBIRD CHICKEN - CORTE MADERA"/>
    <n v="1"/>
    <x v="15"/>
  </r>
  <r>
    <d v="2025-02-28T00:00:00"/>
    <s v="9989012830"/>
    <s v="STARBIRD CHICKEN - CORTE MADERA"/>
    <n v="1"/>
    <x v="5"/>
  </r>
  <r>
    <d v="2025-02-28T00:00:00"/>
    <s v="9989012830"/>
    <s v="STARBIRD CHICKEN - CORTE MADERA"/>
    <n v="1"/>
    <x v="17"/>
  </r>
  <r>
    <d v="2025-02-28T00:00:00"/>
    <s v="9989012830"/>
    <s v="STARBIRD CHICKEN - CORTE MADERA"/>
    <n v="2"/>
    <x v="1"/>
  </r>
  <r>
    <d v="2025-02-28T00:00:00"/>
    <s v="9989012830"/>
    <s v="STARBIRD CHICKEN - CORTE MADERA"/>
    <n v="1"/>
    <x v="3"/>
  </r>
  <r>
    <d v="2025-02-28T00:00:00"/>
    <s v="9989012831"/>
    <s v="THE JUNCTION"/>
    <n v="1"/>
    <x v="24"/>
  </r>
  <r>
    <d v="2025-02-28T00:00:00"/>
    <s v="9989012831"/>
    <s v="THE JUNCTION"/>
    <n v="2"/>
    <x v="7"/>
  </r>
  <r>
    <d v="2025-02-28T00:00:00"/>
    <s v="9989012832"/>
    <s v="BRIX BEVERAGE - SAMPLING"/>
    <n v="1"/>
    <x v="1"/>
  </r>
  <r>
    <d v="2025-02-28T00:00:00"/>
    <s v="9989012832"/>
    <s v="BRIX BEVERAGE - SAMPLING"/>
    <n v="1"/>
    <x v="11"/>
  </r>
  <r>
    <d v="2025-02-28T00:00:00"/>
    <s v="9989012832"/>
    <s v="BRIX BEVERAGE - SAMPLING"/>
    <n v="1"/>
    <x v="4"/>
  </r>
  <r>
    <d v="2025-02-28T00:00:00"/>
    <s v="9989012832"/>
    <s v="BRIX BEVERAGE - SAMPLING"/>
    <n v="1"/>
    <x v="0"/>
  </r>
  <r>
    <d v="2025-02-28T00:00:00"/>
    <s v="9989012833"/>
    <s v="BEN N' NICKS BAR AND GRILL"/>
    <n v="1"/>
    <x v="27"/>
  </r>
  <r>
    <d v="2025-02-28T00:00:00"/>
    <s v="9989012833"/>
    <s v="BEN N' NICKS BAR AND GRILL"/>
    <n v="1"/>
    <x v="9"/>
  </r>
  <r>
    <d v="2025-02-28T00:00:00"/>
    <s v="9989012833"/>
    <s v="BEN N' NICKS BAR AND GRILL"/>
    <n v="1"/>
    <x v="14"/>
  </r>
  <r>
    <d v="2025-02-28T00:00:00"/>
    <s v="9989012834"/>
    <s v="FAST TIMES BURGERS"/>
    <n v="1"/>
    <x v="15"/>
  </r>
  <r>
    <d v="2025-02-28T00:00:00"/>
    <s v="9989012834"/>
    <s v="FAST TIMES BURGERS"/>
    <n v="1"/>
    <x v="8"/>
  </r>
  <r>
    <d v="2025-02-28T00:00:00"/>
    <s v="9989012834"/>
    <s v="FAST TIMES BURGERS"/>
    <n v="1"/>
    <x v="12"/>
  </r>
  <r>
    <d v="2025-02-28T00:00:00"/>
    <s v="9989012834"/>
    <s v="FAST TIMES BURGERS"/>
    <n v="1"/>
    <x v="5"/>
  </r>
  <r>
    <d v="2025-02-28T00:00:00"/>
    <s v="9989012834"/>
    <s v="FAST TIMES BURGERS"/>
    <n v="1"/>
    <x v="17"/>
  </r>
  <r>
    <d v="2025-02-28T00:00:00"/>
    <s v="9989012834"/>
    <s v="FAST TIMES BURGERS"/>
    <n v="1"/>
    <x v="7"/>
  </r>
  <r>
    <d v="2025-02-28T00:00:00"/>
    <s v="9989012835"/>
    <s v="LA TOQUE/BANK CAFE"/>
    <n v="2"/>
    <x v="3"/>
  </r>
  <r>
    <d v="2025-02-28T00:00:00"/>
    <s v="9989012835"/>
    <s v="LA TOQUE/BANK CAFE"/>
    <n v="2"/>
    <x v="11"/>
  </r>
  <r>
    <d v="2025-02-28T00:00:00"/>
    <s v="9989012836"/>
    <s v="CLUB BOTTOMS UP SF"/>
    <n v="1"/>
    <x v="10"/>
  </r>
  <r>
    <d v="2025-02-28T00:00:00"/>
    <s v="9989012836"/>
    <s v="CLUB BOTTOMS UP SF"/>
    <n v="1"/>
    <x v="8"/>
  </r>
  <r>
    <d v="2025-02-28T00:00:00"/>
    <s v="9989012837"/>
    <s v="THE MELT (SANTA CLARA 0045)"/>
    <n v="2"/>
    <x v="10"/>
  </r>
  <r>
    <d v="2025-02-28T00:00:00"/>
    <s v="9989012837"/>
    <s v="THE MELT (SANTA CLARA 0045)"/>
    <n v="1"/>
    <x v="9"/>
  </r>
  <r>
    <d v="2025-02-28T00:00:00"/>
    <s v="9989012838"/>
    <s v="EZ LIQUORS"/>
    <n v="1"/>
    <x v="11"/>
  </r>
  <r>
    <d v="2025-02-28T00:00:00"/>
    <s v="9989012838"/>
    <s v="EZ LIQUORS"/>
    <n v="1"/>
    <x v="1"/>
  </r>
  <r>
    <d v="2025-02-28T00:00:00"/>
    <s v="9989012838"/>
    <s v="EZ LIQUORS"/>
    <n v="1"/>
    <x v="3"/>
  </r>
  <r>
    <d v="2025-02-28T00:00:00"/>
    <s v="9989012838"/>
    <s v="EZ LIQUORS"/>
    <n v="1"/>
    <x v="4"/>
  </r>
  <r>
    <d v="2025-02-28T00:00:00"/>
    <s v="9989012838"/>
    <s v="EZ LIQUORS"/>
    <n v="1"/>
    <x v="2"/>
  </r>
  <r>
    <d v="2025-02-28T00:00:00"/>
    <s v="9989012838"/>
    <s v="EZ LIQUORS"/>
    <n v="1"/>
    <x v="0"/>
  </r>
  <r>
    <d v="2025-02-28T00:00:00"/>
    <s v="9989012839"/>
    <s v="VJ'S SPORTS AND PIZZA"/>
    <n v="1"/>
    <x v="13"/>
  </r>
  <r>
    <d v="2025-02-28T00:00:00"/>
    <s v="9989012839"/>
    <s v="VJ'S SPORTS AND PIZZA"/>
    <n v="1"/>
    <x v="12"/>
  </r>
  <r>
    <d v="2025-02-28T00:00:00"/>
    <s v="9989012839"/>
    <s v="VJ'S SPORTS AND PIZZA"/>
    <n v="1"/>
    <x v="24"/>
  </r>
  <r>
    <d v="2025-02-28T00:00:00"/>
    <s v="9989012839"/>
    <s v="VJ'S SPORTS AND PIZZA"/>
    <n v="1"/>
    <x v="5"/>
  </r>
  <r>
    <d v="2025-02-28T00:00:00"/>
    <s v="9989012840"/>
    <s v="ARTHUR MAC'S LITTLE SNACK"/>
    <n v="2"/>
    <x v="2"/>
  </r>
  <r>
    <d v="2025-02-28T00:00:00"/>
    <s v="9989012840"/>
    <s v="ARTHUR MAC'S LITTLE SNACK"/>
    <n v="2"/>
    <x v="1"/>
  </r>
  <r>
    <d v="2025-02-28T00:00:00"/>
    <s v="9989012840"/>
    <s v="ARTHUR MAC'S LITTLE SNACK"/>
    <n v="2"/>
    <x v="0"/>
  </r>
  <r>
    <d v="2025-02-28T00:00:00"/>
    <s v="9989012840"/>
    <s v="ARTHUR MAC'S LITTLE SNACK"/>
    <n v="2"/>
    <x v="3"/>
  </r>
  <r>
    <d v="2025-02-28T00:00:00"/>
    <s v="9989012840"/>
    <s v="ARTHUR MAC'S LITTLE SNACK"/>
    <n v="1"/>
    <x v="11"/>
  </r>
  <r>
    <d v="2025-02-28T00:00:00"/>
    <s v="9989012840"/>
    <s v="ARTHUR MAC'S LITTLE SNACK"/>
    <n v="1"/>
    <x v="4"/>
  </r>
  <r>
    <d v="2025-02-28T00:00:00"/>
    <s v="9989012840"/>
    <s v="ARTHUR MAC'S LITTLE SNACK"/>
    <n v="2"/>
    <x v="8"/>
  </r>
  <r>
    <d v="2025-02-28T00:00:00"/>
    <s v="9989012840"/>
    <s v="ARTHUR MAC'S LITTLE SNACK"/>
    <n v="2"/>
    <x v="5"/>
  </r>
  <r>
    <d v="2025-02-28T00:00:00"/>
    <s v="9989012840"/>
    <s v="ARTHUR MAC'S LITTLE SNACK"/>
    <n v="3"/>
    <x v="12"/>
  </r>
  <r>
    <d v="2025-02-28T00:00:00"/>
    <s v="9989012840"/>
    <s v="ARTHUR MAC'S LITTLE SNACK"/>
    <n v="1"/>
    <x v="15"/>
  </r>
  <r>
    <d v="2025-02-28T00:00:00"/>
    <s v="9989012840"/>
    <s v="ARTHUR MAC'S LITTLE SNACK"/>
    <n v="1"/>
    <x v="10"/>
  </r>
  <r>
    <d v="2025-02-28T00:00:00"/>
    <s v="9989012841"/>
    <s v="BLUE LAGOON"/>
    <n v="1"/>
    <x v="37"/>
  </r>
  <r>
    <d v="2025-02-28T00:00:00"/>
    <s v="9989012841"/>
    <s v="BLUE LAGOON"/>
    <n v="1"/>
    <x v="12"/>
  </r>
  <r>
    <d v="2025-02-28T00:00:00"/>
    <s v="9989012841"/>
    <s v="BLUE LAGOON"/>
    <n v="1"/>
    <x v="8"/>
  </r>
  <r>
    <d v="2025-02-28T00:00:00"/>
    <s v="9989012842"/>
    <s v="THE KYLAN BAR - FOUNTAIN HEAD BAR"/>
    <n v="1"/>
    <x v="8"/>
  </r>
  <r>
    <d v="2025-02-28T00:00:00"/>
    <s v="9989012842"/>
    <s v="THE KYLAN BAR - FOUNTAIN HEAD BAR"/>
    <n v="1"/>
    <x v="12"/>
  </r>
  <r>
    <d v="2025-02-28T00:00:00"/>
    <s v="9989012844"/>
    <s v="2101 CLUB"/>
    <n v="1"/>
    <x v="12"/>
  </r>
  <r>
    <d v="2025-02-28T00:00:00"/>
    <s v="9989012844"/>
    <s v="2101 CLUB"/>
    <n v="1"/>
    <x v="14"/>
  </r>
  <r>
    <d v="2025-02-28T00:00:00"/>
    <s v="9989012844"/>
    <s v="2101 CLUB"/>
    <n v="1"/>
    <x v="21"/>
  </r>
  <r>
    <d v="2025-02-28T00:00:00"/>
    <s v="9989012845"/>
    <s v="LAUREL LOUNGE"/>
    <n v="1"/>
    <x v="14"/>
  </r>
  <r>
    <d v="2025-02-28T00:00:00"/>
    <s v="9989012845"/>
    <s v="LAUREL LOUNGE"/>
    <n v="1"/>
    <x v="22"/>
  </r>
  <r>
    <d v="2025-02-28T00:00:00"/>
    <s v="9989012845"/>
    <s v="LAUREL LOUNGE"/>
    <n v="1"/>
    <x v="12"/>
  </r>
  <r>
    <d v="2025-02-28T00:00:00"/>
    <s v="9989012846"/>
    <s v="PAUL &amp; EDDIES &amp; ASSOCIATES"/>
    <n v="1"/>
    <x v="14"/>
  </r>
  <r>
    <d v="2025-02-28T00:00:00"/>
    <s v="9989012846"/>
    <s v="PAUL &amp; EDDIES &amp; ASSOCIATES"/>
    <n v="1"/>
    <x v="18"/>
  </r>
  <r>
    <d v="2025-02-28T00:00:00"/>
    <s v="9989013197A"/>
    <s v="Shopify - alameda-soda-co Customer"/>
    <n v="26"/>
    <x v="1"/>
  </r>
  <r>
    <d v="2025-02-28T00:00:00"/>
    <s v="9989013197A"/>
    <s v="Shopify - alameda-soda-co Customer"/>
    <n v="14"/>
    <x v="11"/>
  </r>
  <r>
    <d v="2025-02-28T00:00:00"/>
    <s v="9989013197A"/>
    <s v="Shopify - alameda-soda-co Customer"/>
    <n v="5"/>
    <x v="4"/>
  </r>
  <r>
    <d v="2025-02-28T00:00:00"/>
    <s v="9989013197A"/>
    <s v="Shopify - alameda-soda-co Customer"/>
    <n v="4"/>
    <x v="3"/>
  </r>
  <r>
    <d v="2025-02-28T00:00:00"/>
    <s v="9989013197A"/>
    <s v="Shopify - alameda-soda-co Customer"/>
    <n v="2"/>
    <x v="2"/>
  </r>
  <r>
    <d v="2025-02-28T00:00:00"/>
    <s v="9989013197A"/>
    <s v="Shopify - alameda-soda-co Customer"/>
    <n v="1"/>
    <x v="0"/>
  </r>
  <r>
    <d v="2025-03-03T00:00:00"/>
    <s v="9989012960"/>
    <s v="CALI'S SPORTS BAR"/>
    <n v="2"/>
    <x v="8"/>
  </r>
  <r>
    <d v="2025-03-03T00:00:00"/>
    <s v="9989012960"/>
    <s v="CALI'S SPORTS BAR"/>
    <n v="1"/>
    <x v="7"/>
  </r>
  <r>
    <d v="2025-03-03T00:00:00"/>
    <s v="9989012960"/>
    <s v="CALI'S SPORTS BAR"/>
    <n v="1"/>
    <x v="30"/>
  </r>
  <r>
    <d v="2025-03-03T00:00:00"/>
    <s v="9989012960"/>
    <s v="CALI'S SPORTS BAR"/>
    <n v="1"/>
    <x v="12"/>
  </r>
  <r>
    <d v="2025-03-03T00:00:00"/>
    <s v="9989012961"/>
    <s v="CALI KID BURGERS AND SHAKES"/>
    <n v="1"/>
    <x v="8"/>
  </r>
  <r>
    <d v="2025-03-04T00:00:00"/>
    <s v="9989012964"/>
    <s v="ALAMEDA BREWING"/>
    <n v="2"/>
    <x v="1"/>
  </r>
  <r>
    <d v="2025-03-04T00:00:00"/>
    <s v="9989012964"/>
    <s v="ALAMEDA BREWING"/>
    <n v="3"/>
    <x v="11"/>
  </r>
  <r>
    <d v="2025-03-04T00:00:00"/>
    <s v="9989012964"/>
    <s v="ALAMEDA BREWING"/>
    <n v="3"/>
    <x v="4"/>
  </r>
  <r>
    <d v="2025-03-04T00:00:00"/>
    <s v="9989012964"/>
    <s v="ALAMEDA BREWING"/>
    <n v="2"/>
    <x v="3"/>
  </r>
  <r>
    <d v="2025-03-04T00:00:00"/>
    <s v="9989012965"/>
    <s v="PHILOMENA PIZZA"/>
    <n v="1"/>
    <x v="8"/>
  </r>
  <r>
    <d v="2025-03-04T00:00:00"/>
    <s v="9989012965"/>
    <s v="PHILOMENA PIZZA"/>
    <n v="1"/>
    <x v="6"/>
  </r>
  <r>
    <d v="2025-03-04T00:00:00"/>
    <s v="9989012965"/>
    <s v="PHILOMENA PIZZA"/>
    <n v="1"/>
    <x v="7"/>
  </r>
  <r>
    <d v="2025-03-04T00:00:00"/>
    <s v="9989012965"/>
    <s v="PHILOMENA PIZZA"/>
    <n v="1"/>
    <x v="24"/>
  </r>
  <r>
    <d v="2025-03-04T00:00:00"/>
    <s v="9989012966"/>
    <s v="BON APPETIT - OPEN AI"/>
    <n v="3"/>
    <x v="12"/>
  </r>
  <r>
    <d v="2025-03-04T00:00:00"/>
    <s v="9989012966"/>
    <s v="BON APPETIT - OPEN AI"/>
    <n v="2"/>
    <x v="5"/>
  </r>
  <r>
    <d v="2025-03-04T00:00:00"/>
    <s v="9989012966"/>
    <s v="BON APPETIT - OPEN AI"/>
    <n v="2"/>
    <x v="15"/>
  </r>
  <r>
    <d v="2025-03-04T00:00:00"/>
    <s v="9989012966"/>
    <s v="BON APPETIT - OPEN AI"/>
    <n v="3"/>
    <x v="8"/>
  </r>
  <r>
    <d v="2025-03-04T00:00:00"/>
    <s v="9989012968"/>
    <s v="DS GIANT BURGERS"/>
    <n v="2"/>
    <x v="8"/>
  </r>
  <r>
    <d v="2025-03-04T00:00:00"/>
    <s v="9989012968"/>
    <s v="DS GIANT BURGERS"/>
    <n v="1"/>
    <x v="15"/>
  </r>
  <r>
    <d v="2025-03-04T00:00:00"/>
    <s v="9989012968"/>
    <s v="DS GIANT BURGERS"/>
    <n v="1"/>
    <x v="5"/>
  </r>
  <r>
    <d v="2025-03-04T00:00:00"/>
    <s v="9989012968"/>
    <s v="DS GIANT BURGERS"/>
    <n v="1"/>
    <x v="12"/>
  </r>
  <r>
    <d v="2025-03-04T00:00:00"/>
    <s v="9989012969"/>
    <s v="THE COMET"/>
    <n v="2"/>
    <x v="15"/>
  </r>
  <r>
    <d v="2025-03-04T00:00:00"/>
    <s v="9989012970"/>
    <s v="CROWN BAR (LAMA BAR)"/>
    <n v="1"/>
    <x v="8"/>
  </r>
  <r>
    <d v="2025-03-04T00:00:00"/>
    <s v="9989012970"/>
    <s v="CROWN BAR (LAMA BAR)"/>
    <n v="1"/>
    <x v="14"/>
  </r>
  <r>
    <d v="2025-03-04T00:00:00"/>
    <s v="9989012971"/>
    <s v="THE DEAD FISH"/>
    <n v="1"/>
    <x v="26"/>
  </r>
  <r>
    <d v="2025-03-04T00:00:00"/>
    <s v="9989012971"/>
    <s v="THE DEAD FISH"/>
    <n v="1"/>
    <x v="8"/>
  </r>
  <r>
    <d v="2025-03-04T00:00:00"/>
    <s v="9989012971"/>
    <s v="THE DEAD FISH"/>
    <n v="1"/>
    <x v="27"/>
  </r>
  <r>
    <d v="2025-03-04T00:00:00"/>
    <s v="9989012971"/>
    <s v="THE DEAD FISH"/>
    <n v="1"/>
    <x v="18"/>
  </r>
  <r>
    <d v="2025-03-04T00:00:00"/>
    <s v="9989012971"/>
    <s v="THE DEAD FISH"/>
    <n v="1"/>
    <x v="19"/>
  </r>
  <r>
    <d v="2025-03-04T00:00:00"/>
    <s v="9989012971"/>
    <s v="THE DEAD FISH"/>
    <n v="2"/>
    <x v="24"/>
  </r>
  <r>
    <d v="2025-03-04T00:00:00"/>
    <s v="9989012971"/>
    <s v="THE DEAD FISH"/>
    <n v="2"/>
    <x v="7"/>
  </r>
  <r>
    <d v="2025-03-04T00:00:00"/>
    <s v="9989012971"/>
    <s v="THE DEAD FISH"/>
    <n v="2"/>
    <x v="14"/>
  </r>
  <r>
    <d v="2025-03-04T00:00:00"/>
    <s v="9989012972"/>
    <s v="HOTSY TOTSY CLUB"/>
    <n v="1"/>
    <x v="18"/>
  </r>
  <r>
    <d v="2025-03-04T00:00:00"/>
    <s v="9989012972"/>
    <s v="HOTSY TOTSY CLUB"/>
    <n v="1"/>
    <x v="14"/>
  </r>
  <r>
    <d v="2025-03-04T00:00:00"/>
    <s v="9989012972"/>
    <s v="HOTSY TOTSY CLUB"/>
    <n v="1"/>
    <x v="8"/>
  </r>
  <r>
    <d v="2025-03-04T00:00:00"/>
    <s v="9989012973"/>
    <s v="THE MELT (7TH @ FIG)"/>
    <n v="2"/>
    <x v="8"/>
  </r>
  <r>
    <d v="2025-03-04T00:00:00"/>
    <s v="9989012973"/>
    <s v="THE MELT (7TH @ FIG)"/>
    <n v="1"/>
    <x v="15"/>
  </r>
  <r>
    <d v="2025-03-04T00:00:00"/>
    <s v="9989012973"/>
    <s v="THE MELT (7TH @ FIG)"/>
    <n v="2"/>
    <x v="12"/>
  </r>
  <r>
    <d v="2025-03-04T00:00:00"/>
    <s v="9989012973"/>
    <s v="THE MELT (7TH @ FIG)"/>
    <n v="1"/>
    <x v="5"/>
  </r>
  <r>
    <d v="2025-03-04T00:00:00"/>
    <s v="9989012974"/>
    <s v="BENTON"/>
    <n v="1"/>
    <x v="8"/>
  </r>
  <r>
    <d v="2025-03-04T00:00:00"/>
    <s v="9989012974"/>
    <s v="BENTON"/>
    <n v="1"/>
    <x v="15"/>
  </r>
  <r>
    <d v="2025-03-04T00:00:00"/>
    <s v="9989012974"/>
    <s v="BENTON"/>
    <n v="1"/>
    <x v="14"/>
  </r>
  <r>
    <d v="2025-03-04T00:00:00"/>
    <s v="9989012974"/>
    <s v="BENTON"/>
    <n v="1"/>
    <x v="18"/>
  </r>
  <r>
    <d v="2025-03-04T00:00:00"/>
    <s v="9989012974"/>
    <s v="BENTON"/>
    <n v="1"/>
    <x v="19"/>
  </r>
  <r>
    <d v="2025-03-04T00:00:00"/>
    <s v="9989012974"/>
    <s v="BENTON"/>
    <n v="1"/>
    <x v="10"/>
  </r>
  <r>
    <d v="2025-03-04T00:00:00"/>
    <s v="9989012975"/>
    <s v="STARBIRD - TASTES ON THE FLY SF"/>
    <n v="3"/>
    <x v="8"/>
  </r>
  <r>
    <d v="2025-03-04T00:00:00"/>
    <s v="9989012975"/>
    <s v="STARBIRD - TASTES ON THE FLY SF"/>
    <n v="3"/>
    <x v="15"/>
  </r>
  <r>
    <d v="2025-03-04T00:00:00"/>
    <s v="9989012975"/>
    <s v="STARBIRD - TASTES ON THE FLY SF"/>
    <n v="2"/>
    <x v="5"/>
  </r>
  <r>
    <d v="2025-03-04T00:00:00"/>
    <s v="9989012975"/>
    <s v="STARBIRD - TASTES ON THE FLY SF"/>
    <n v="1"/>
    <x v="12"/>
  </r>
  <r>
    <d v="2025-03-04T00:00:00"/>
    <s v="9989012975"/>
    <s v="STARBIRD - TASTES ON THE FLY SF"/>
    <n v="1"/>
    <x v="10"/>
  </r>
  <r>
    <d v="2025-03-04T00:00:00"/>
    <s v="9989012976"/>
    <s v="THE ALLEY"/>
    <n v="2"/>
    <x v="18"/>
  </r>
  <r>
    <d v="2025-03-04T00:00:00"/>
    <s v="9989012976"/>
    <s v="THE ALLEY"/>
    <n v="2"/>
    <x v="8"/>
  </r>
  <r>
    <d v="2025-03-04T00:00:00"/>
    <s v="9989012976"/>
    <s v="THE ALLEY"/>
    <n v="1"/>
    <x v="12"/>
  </r>
  <r>
    <d v="2025-03-04T00:00:00"/>
    <s v="9989012976"/>
    <s v="THE ALLEY"/>
    <n v="1"/>
    <x v="19"/>
  </r>
  <r>
    <d v="2025-03-04T00:00:00"/>
    <s v="9989012976"/>
    <s v="THE ALLEY"/>
    <n v="1"/>
    <x v="15"/>
  </r>
  <r>
    <d v="2025-03-04T00:00:00"/>
    <s v="9989012977"/>
    <s v="ST. GEORGE SPIRITS"/>
    <n v="4"/>
    <x v="11"/>
  </r>
  <r>
    <d v="2025-03-04T00:00:00"/>
    <s v="9989012977"/>
    <s v="ST. GEORGE SPIRITS"/>
    <n v="4"/>
    <x v="0"/>
  </r>
  <r>
    <d v="2025-03-04T00:00:00"/>
    <s v="9989012978"/>
    <s v="STARBIRD CHICKEN - MARINA DEL REY"/>
    <n v="1"/>
    <x v="23"/>
  </r>
  <r>
    <d v="2025-03-04T00:00:00"/>
    <s v="9989012978"/>
    <s v="STARBIRD CHICKEN - MARINA DEL REY"/>
    <n v="1"/>
    <x v="15"/>
  </r>
  <r>
    <d v="2025-03-04T00:00:00"/>
    <s v="9989012978"/>
    <s v="STARBIRD CHICKEN - MARINA DEL REY"/>
    <n v="1"/>
    <x v="15"/>
  </r>
  <r>
    <d v="2025-03-04T00:00:00"/>
    <s v="9989012979"/>
    <s v="STARBIRD CHICKEN - HERMOSA BEACH"/>
    <n v="1"/>
    <x v="8"/>
  </r>
  <r>
    <d v="2025-03-04T00:00:00"/>
    <s v="9989012979"/>
    <s v="STARBIRD CHICKEN - HERMOSA BEACH"/>
    <n v="1"/>
    <x v="15"/>
  </r>
  <r>
    <d v="2025-03-04T00:00:00"/>
    <s v="9989012979"/>
    <s v="STARBIRD CHICKEN - HERMOSA BEACH"/>
    <n v="1"/>
    <x v="17"/>
  </r>
  <r>
    <d v="2025-03-04T00:00:00"/>
    <s v="9989012979"/>
    <s v="STARBIRD CHICKEN - HERMOSA BEACH"/>
    <n v="1"/>
    <x v="11"/>
  </r>
  <r>
    <d v="2025-03-04T00:00:00"/>
    <s v="9989012980"/>
    <s v="CLUB MALLARD"/>
    <n v="1"/>
    <x v="12"/>
  </r>
  <r>
    <d v="2025-03-04T00:00:00"/>
    <s v="9989012980"/>
    <s v="CLUB MALLARD"/>
    <n v="1"/>
    <x v="15"/>
  </r>
  <r>
    <d v="2025-03-04T00:00:00"/>
    <s v="9989012983"/>
    <s v="THE AVENUE"/>
    <n v="1"/>
    <x v="12"/>
  </r>
  <r>
    <d v="2025-03-04T00:00:00"/>
    <s v="9989012983"/>
    <s v="THE AVENUE"/>
    <n v="1"/>
    <x v="18"/>
  </r>
  <r>
    <d v="2025-03-04T00:00:00"/>
    <s v="9989012983"/>
    <s v="THE AVENUE"/>
    <n v="1"/>
    <x v="19"/>
  </r>
  <r>
    <d v="2025-03-04T00:00:00"/>
    <s v="9989012983"/>
    <s v="THE AVENUE"/>
    <n v="1"/>
    <x v="8"/>
  </r>
  <r>
    <d v="2025-03-04T00:00:00"/>
    <s v="9989012983"/>
    <s v="THE AVENUE"/>
    <n v="1"/>
    <x v="22"/>
  </r>
  <r>
    <d v="2025-03-04T00:00:00"/>
    <s v="9989012983"/>
    <s v="THE AVENUE"/>
    <n v="1"/>
    <x v="15"/>
  </r>
  <r>
    <d v="2025-03-05T00:00:00"/>
    <s v="9989012984"/>
    <s v="DIABLO FOODS"/>
    <n v="1"/>
    <x v="2"/>
  </r>
  <r>
    <d v="2025-03-05T00:00:00"/>
    <s v="9989012984"/>
    <s v="DIABLO FOODS"/>
    <n v="1"/>
    <x v="0"/>
  </r>
  <r>
    <d v="2025-03-05T00:00:00"/>
    <s v="9989012984"/>
    <s v="DIABLO FOODS"/>
    <n v="2"/>
    <x v="4"/>
  </r>
  <r>
    <d v="2025-03-05T00:00:00"/>
    <s v="9989012984"/>
    <s v="DIABLO FOODS"/>
    <n v="2"/>
    <x v="1"/>
  </r>
  <r>
    <d v="2025-03-05T00:00:00"/>
    <s v="9989012984"/>
    <s v="DIABLO FOODS"/>
    <n v="2"/>
    <x v="11"/>
  </r>
  <r>
    <d v="2025-03-05T00:00:00"/>
    <s v="9989012985"/>
    <s v="FIDDLERS GREEN"/>
    <n v="1"/>
    <x v="8"/>
  </r>
  <r>
    <d v="2025-03-05T00:00:00"/>
    <s v="9989012985"/>
    <s v="FIDDLERS GREEN"/>
    <n v="1"/>
    <x v="24"/>
  </r>
  <r>
    <d v="2025-03-05T00:00:00"/>
    <s v="9989012985"/>
    <s v="FIDDLERS GREEN"/>
    <n v="1"/>
    <x v="18"/>
  </r>
  <r>
    <d v="2025-03-05T00:00:00"/>
    <s v="9989012985"/>
    <s v="FIDDLERS GREEN"/>
    <n v="1"/>
    <x v="19"/>
  </r>
  <r>
    <d v="2025-03-05T00:00:00"/>
    <s v="9989012986"/>
    <s v="ROCCA RESTAURANT"/>
    <n v="2"/>
    <x v="7"/>
  </r>
  <r>
    <d v="2025-03-05T00:00:00"/>
    <s v="9989012987"/>
    <s v="OLD PRINCETON LANDING"/>
    <n v="2"/>
    <x v="8"/>
  </r>
  <r>
    <d v="2025-03-05T00:00:00"/>
    <s v="9989012987"/>
    <s v="OLD PRINCETON LANDING"/>
    <n v="1"/>
    <x v="16"/>
  </r>
  <r>
    <d v="2025-03-05T00:00:00"/>
    <s v="9989012987"/>
    <s v="OLD PRINCETON LANDING"/>
    <n v="1"/>
    <x v="12"/>
  </r>
  <r>
    <d v="2025-03-05T00:00:00"/>
    <s v="9989012988"/>
    <s v="REVE"/>
    <n v="1"/>
    <x v="1"/>
  </r>
  <r>
    <d v="2025-03-05T00:00:00"/>
    <s v="9989012988"/>
    <s v="REVE"/>
    <n v="2"/>
    <x v="11"/>
  </r>
  <r>
    <d v="2025-03-05T00:00:00"/>
    <s v="9989012988"/>
    <s v="REVE"/>
    <n v="2"/>
    <x v="3"/>
  </r>
  <r>
    <d v="2025-03-05T00:00:00"/>
    <s v="9989012989"/>
    <s v="STATE OF MIND PUBLIC HOUSE REDWOOD CITY"/>
    <n v="1"/>
    <x v="15"/>
  </r>
  <r>
    <d v="2025-03-05T00:00:00"/>
    <s v="9989012989"/>
    <s v="STATE OF MIND PUBLIC HOUSE REDWOOD CITY"/>
    <n v="1"/>
    <x v="8"/>
  </r>
  <r>
    <d v="2025-03-05T00:00:00"/>
    <s v="9989012989"/>
    <s v="STATE OF MIND PUBLIC HOUSE REDWOOD CITY"/>
    <n v="1"/>
    <x v="7"/>
  </r>
  <r>
    <d v="2025-03-05T00:00:00"/>
    <s v="9989012991"/>
    <s v="STARBIRD CHICKEN - WALNUT CREEK"/>
    <n v="3"/>
    <x v="8"/>
  </r>
  <r>
    <d v="2025-03-05T00:00:00"/>
    <s v="9989012991"/>
    <s v="STARBIRD CHICKEN - WALNUT CREEK"/>
    <n v="2"/>
    <x v="12"/>
  </r>
  <r>
    <d v="2025-03-05T00:00:00"/>
    <s v="9989012991"/>
    <s v="STARBIRD CHICKEN - WALNUT CREEK"/>
    <n v="2"/>
    <x v="5"/>
  </r>
  <r>
    <d v="2025-03-05T00:00:00"/>
    <s v="9989012991"/>
    <s v="STARBIRD CHICKEN - WALNUT CREEK"/>
    <n v="2"/>
    <x v="17"/>
  </r>
  <r>
    <d v="2025-03-05T00:00:00"/>
    <s v="9989012991"/>
    <s v="STARBIRD CHICKEN - WALNUT CREEK"/>
    <n v="1"/>
    <x v="15"/>
  </r>
  <r>
    <d v="2025-03-05T00:00:00"/>
    <s v="9989012991"/>
    <s v="STARBIRD CHICKEN - WALNUT CREEK"/>
    <n v="1"/>
    <x v="10"/>
  </r>
  <r>
    <d v="2025-03-05T00:00:00"/>
    <s v="9989012991"/>
    <s v="STARBIRD CHICKEN - WALNUT CREEK"/>
    <n v="2"/>
    <x v="4"/>
  </r>
  <r>
    <d v="2025-03-05T00:00:00"/>
    <s v="9989012991"/>
    <s v="STARBIRD CHICKEN - WALNUT CREEK"/>
    <n v="1"/>
    <x v="11"/>
  </r>
  <r>
    <d v="2025-03-05T00:00:00"/>
    <s v="9989012991"/>
    <s v="STARBIRD CHICKEN - WALNUT CREEK"/>
    <n v="1"/>
    <x v="3"/>
  </r>
  <r>
    <d v="2025-03-05T00:00:00"/>
    <s v="9989012991"/>
    <s v="STARBIRD CHICKEN - WALNUT CREEK"/>
    <n v="1"/>
    <x v="1"/>
  </r>
  <r>
    <d v="2025-03-05T00:00:00"/>
    <s v="9989012992"/>
    <s v="THE MELT (STANFORD)"/>
    <n v="2"/>
    <x v="15"/>
  </r>
  <r>
    <d v="2025-03-05T00:00:00"/>
    <s v="9989012992"/>
    <s v="THE MELT (STANFORD)"/>
    <n v="2"/>
    <x v="8"/>
  </r>
  <r>
    <d v="2025-03-05T00:00:00"/>
    <s v="9989012992"/>
    <s v="THE MELT (STANFORD)"/>
    <n v="2"/>
    <x v="5"/>
  </r>
  <r>
    <d v="2025-03-05T00:00:00"/>
    <s v="9989012992"/>
    <s v="THE MELT (STANFORD)"/>
    <n v="1"/>
    <x v="12"/>
  </r>
  <r>
    <d v="2025-03-05T00:00:00"/>
    <s v="9989012992"/>
    <s v="THE MELT (STANFORD)"/>
    <n v="1"/>
    <x v="9"/>
  </r>
  <r>
    <d v="2025-03-05T00:00:00"/>
    <s v="9989012992"/>
    <s v="THE MELT (STANFORD)"/>
    <n v="1"/>
    <x v="10"/>
  </r>
  <r>
    <d v="2025-03-05T00:00:00"/>
    <s v="9989012993"/>
    <s v="INVERNESS STORE"/>
    <n v="1"/>
    <x v="1"/>
  </r>
  <r>
    <d v="2025-03-05T00:00:00"/>
    <s v="9989012993"/>
    <s v="INVERNESS STORE"/>
    <n v="1"/>
    <x v="11"/>
  </r>
  <r>
    <d v="2025-03-05T00:00:00"/>
    <s v="9989012993"/>
    <s v="INVERNESS STORE"/>
    <n v="1"/>
    <x v="3"/>
  </r>
  <r>
    <d v="2025-03-05T00:00:00"/>
    <s v="9989012993"/>
    <s v="INVERNESS STORE"/>
    <n v="1"/>
    <x v="4"/>
  </r>
  <r>
    <d v="2025-03-05T00:00:00"/>
    <s v="9989012993"/>
    <s v="INVERNESS STORE"/>
    <n v="1"/>
    <x v="2"/>
  </r>
  <r>
    <d v="2025-03-05T00:00:00"/>
    <s v="9989012993"/>
    <s v="INVERNESS STORE"/>
    <n v="1"/>
    <x v="0"/>
  </r>
  <r>
    <d v="2025-03-05T00:00:00"/>
    <s v="9989012994"/>
    <s v="STATE OF MIND SLICE HOUSE  (PALO ALTO)"/>
    <n v="2"/>
    <x v="8"/>
  </r>
  <r>
    <d v="2025-03-05T00:00:00"/>
    <s v="9989012994"/>
    <s v="STATE OF MIND SLICE HOUSE  (PALO ALTO)"/>
    <n v="1"/>
    <x v="19"/>
  </r>
  <r>
    <d v="2025-03-05T00:00:00"/>
    <s v="9989012994"/>
    <s v="STATE OF MIND SLICE HOUSE  (PALO ALTO)"/>
    <n v="1"/>
    <x v="9"/>
  </r>
  <r>
    <d v="2025-03-05T00:00:00"/>
    <s v="9989012995"/>
    <s v="STARBIRD CHICKEN - PALO ALTO"/>
    <n v="2"/>
    <x v="17"/>
  </r>
  <r>
    <d v="2025-03-05T00:00:00"/>
    <s v="9989012996"/>
    <s v="CANYON CLUB BREWERY"/>
    <n v="2"/>
    <x v="7"/>
  </r>
  <r>
    <d v="2025-03-05T00:00:00"/>
    <s v="9989012996"/>
    <s v="CANYON CLUB BREWERY"/>
    <n v="1"/>
    <x v="8"/>
  </r>
  <r>
    <d v="2025-03-05T00:00:00"/>
    <s v="9989012996"/>
    <s v="CANYON CLUB BREWERY"/>
    <n v="1"/>
    <x v="12"/>
  </r>
  <r>
    <d v="2025-03-05T00:00:00"/>
    <s v="9989012997"/>
    <s v="STATE OF MIND PUBLIC HOUSE &amp; PIZZERIA (LOS ALTOS)"/>
    <n v="1"/>
    <x v="8"/>
  </r>
  <r>
    <d v="2025-03-05T00:00:00"/>
    <s v="9989012997"/>
    <s v="STATE OF MIND PUBLIC HOUSE &amp; PIZZERIA (LOS ALTOS)"/>
    <n v="1"/>
    <x v="15"/>
  </r>
  <r>
    <d v="2025-03-05T00:00:00"/>
    <s v="9989012997"/>
    <s v="STATE OF MIND PUBLIC HOUSE &amp; PIZZERIA (LOS ALTOS)"/>
    <n v="1"/>
    <x v="12"/>
  </r>
  <r>
    <d v="2025-03-05T00:00:00"/>
    <s v="9989012997"/>
    <s v="STATE OF MIND PUBLIC HOUSE &amp; PIZZERIA (LOS ALTOS)"/>
    <n v="1"/>
    <x v="7"/>
  </r>
  <r>
    <d v="2025-03-05T00:00:00"/>
    <s v="9989012997"/>
    <s v="STATE OF MIND PUBLIC HOUSE &amp; PIZZERIA (LOS ALTOS)"/>
    <n v="1"/>
    <x v="9"/>
  </r>
  <r>
    <d v="2025-03-05T00:00:00"/>
    <s v="9989012998"/>
    <s v="BERKELEY TAP HAUS"/>
    <n v="1"/>
    <x v="8"/>
  </r>
  <r>
    <d v="2025-03-05T00:00:00"/>
    <s v="9989012998"/>
    <s v="BERKELEY TAP HAUS"/>
    <n v="1"/>
    <x v="14"/>
  </r>
  <r>
    <d v="2025-03-05T00:00:00"/>
    <s v="9989012999"/>
    <s v="YAFA HUMMUS"/>
    <n v="2"/>
    <x v="8"/>
  </r>
  <r>
    <d v="2025-03-05T00:00:00"/>
    <s v="9989012999"/>
    <s v="YAFA HUMMUS"/>
    <n v="2"/>
    <x v="15"/>
  </r>
  <r>
    <d v="2025-03-05T00:00:00"/>
    <s v="9989012999"/>
    <s v="YAFA HUMMUS"/>
    <n v="1"/>
    <x v="9"/>
  </r>
  <r>
    <d v="2025-03-05T00:00:00"/>
    <s v="9989012999"/>
    <s v="YAFA HUMMUS"/>
    <n v="1"/>
    <x v="12"/>
  </r>
  <r>
    <d v="2025-03-05T00:00:00"/>
    <s v="9989012999"/>
    <s v="YAFA HUMMUS"/>
    <n v="1"/>
    <x v="7"/>
  </r>
  <r>
    <d v="2025-03-05T00:00:00"/>
    <s v="9989012999"/>
    <s v="YAFA HUMMUS"/>
    <n v="1"/>
    <x v="5"/>
  </r>
  <r>
    <d v="2025-03-05T00:00:00"/>
    <s v="9989013000"/>
    <s v="YAFA HUMMUS-TRACY"/>
    <n v="2"/>
    <x v="8"/>
  </r>
  <r>
    <d v="2025-03-05T00:00:00"/>
    <s v="9989013000"/>
    <s v="YAFA HUMMUS-TRACY"/>
    <n v="2"/>
    <x v="15"/>
  </r>
  <r>
    <d v="2025-03-05T00:00:00"/>
    <s v="9989013000"/>
    <s v="YAFA HUMMUS-TRACY"/>
    <n v="2"/>
    <x v="5"/>
  </r>
  <r>
    <d v="2025-03-05T00:00:00"/>
    <s v="9989013000"/>
    <s v="YAFA HUMMUS-TRACY"/>
    <n v="2"/>
    <x v="17"/>
  </r>
  <r>
    <d v="2025-03-05T00:00:00"/>
    <s v="9989013000"/>
    <s v="YAFA HUMMUS-TRACY"/>
    <n v="1"/>
    <x v="7"/>
  </r>
  <r>
    <d v="2025-03-05T00:00:00"/>
    <s v="9989013001"/>
    <s v="MONTE CARLO"/>
    <n v="4"/>
    <x v="28"/>
  </r>
  <r>
    <d v="2025-03-05T00:00:00"/>
    <s v="9989013001"/>
    <s v="MONTE CARLO"/>
    <n v="3"/>
    <x v="14"/>
  </r>
  <r>
    <d v="2025-03-05T00:00:00"/>
    <s v="9989013001"/>
    <s v="MONTE CARLO"/>
    <n v="3"/>
    <x v="37"/>
  </r>
  <r>
    <d v="2025-03-05T00:00:00"/>
    <s v="9989013001"/>
    <s v="MONTE CARLO"/>
    <n v="3"/>
    <x v="29"/>
  </r>
  <r>
    <d v="2025-03-05T00:00:00"/>
    <s v="9989013001"/>
    <s v="MONTE CARLO"/>
    <n v="2"/>
    <x v="8"/>
  </r>
  <r>
    <d v="2025-03-05T00:00:00"/>
    <s v="9989013002"/>
    <s v="STARBIRD CHICKEN - PLEASANTON"/>
    <n v="2"/>
    <x v="8"/>
  </r>
  <r>
    <d v="2025-03-05T00:00:00"/>
    <s v="9989013002"/>
    <s v="STARBIRD CHICKEN - PLEASANTON"/>
    <n v="2"/>
    <x v="15"/>
  </r>
  <r>
    <d v="2025-03-05T00:00:00"/>
    <s v="9989013002"/>
    <s v="STARBIRD CHICKEN - PLEASANTON"/>
    <n v="2"/>
    <x v="5"/>
  </r>
  <r>
    <d v="2025-03-05T00:00:00"/>
    <s v="9989013002"/>
    <s v="STARBIRD CHICKEN - PLEASANTON"/>
    <n v="1"/>
    <x v="12"/>
  </r>
  <r>
    <d v="2025-03-05T00:00:00"/>
    <s v="9989013002"/>
    <s v="STARBIRD CHICKEN - PLEASANTON"/>
    <n v="1"/>
    <x v="23"/>
  </r>
  <r>
    <d v="2025-03-05T00:00:00"/>
    <s v="9989013002"/>
    <s v="STARBIRD CHICKEN - PLEASANTON"/>
    <n v="1"/>
    <x v="11"/>
  </r>
  <r>
    <d v="2025-03-05T00:00:00"/>
    <s v="9989013002"/>
    <s v="STARBIRD CHICKEN - PLEASANTON"/>
    <n v="1"/>
    <x v="1"/>
  </r>
  <r>
    <d v="2025-03-05T00:00:00"/>
    <s v="9989013002"/>
    <s v="STARBIRD CHICKEN - PLEASANTON"/>
    <n v="1"/>
    <x v="4"/>
  </r>
  <r>
    <d v="2025-03-05T00:00:00"/>
    <s v="9989013003"/>
    <s v="THE MELT (SUNNYVALE #0043)"/>
    <n v="1"/>
    <x v="16"/>
  </r>
  <r>
    <d v="2025-03-05T00:00:00"/>
    <s v="9989013003"/>
    <s v="THE MELT (SUNNYVALE #0043)"/>
    <n v="3"/>
    <x v="8"/>
  </r>
  <r>
    <d v="2025-03-05T00:00:00"/>
    <s v="9989013003"/>
    <s v="THE MELT (SUNNYVALE #0043)"/>
    <n v="1"/>
    <x v="15"/>
  </r>
  <r>
    <d v="2025-03-05T00:00:00"/>
    <s v="9989013003"/>
    <s v="THE MELT (SUNNYVALE #0043)"/>
    <n v="1"/>
    <x v="10"/>
  </r>
  <r>
    <d v="2025-03-05T00:00:00"/>
    <s v="9989013003"/>
    <s v="THE MELT (SUNNYVALE #0043)"/>
    <n v="1"/>
    <x v="12"/>
  </r>
  <r>
    <d v="2025-03-05T00:00:00"/>
    <s v="9989013003"/>
    <s v="THE MELT (SUNNYVALE #0043)"/>
    <n v="3"/>
    <x v="5"/>
  </r>
  <r>
    <d v="2025-03-05T00:00:00"/>
    <s v="9989013004"/>
    <s v="CALI KID BURGERS AND SHAKES"/>
    <n v="2"/>
    <x v="8"/>
  </r>
  <r>
    <d v="2025-03-05T00:00:00"/>
    <s v="9989013004"/>
    <s v="CALI KID BURGERS AND SHAKES"/>
    <n v="1"/>
    <x v="15"/>
  </r>
  <r>
    <d v="2025-03-05T00:00:00"/>
    <s v="9989013004"/>
    <s v="CALI KID BURGERS AND SHAKES"/>
    <n v="1"/>
    <x v="12"/>
  </r>
  <r>
    <d v="2025-03-05T00:00:00"/>
    <s v="9989013004"/>
    <s v="CALI KID BURGERS AND SHAKES"/>
    <n v="1"/>
    <x v="17"/>
  </r>
  <r>
    <d v="2025-03-05T00:00:00"/>
    <s v="9989013004"/>
    <s v="CALI KID BURGERS AND SHAKES"/>
    <n v="1"/>
    <x v="10"/>
  </r>
  <r>
    <d v="2025-03-05T00:00:00"/>
    <s v="9989013004"/>
    <s v="CALI KID BURGERS AND SHAKES"/>
    <n v="1"/>
    <x v="5"/>
  </r>
  <r>
    <d v="2025-03-05T00:00:00"/>
    <s v="9989013005"/>
    <s v="PIZZERIA VIOLETTA"/>
    <n v="1"/>
    <x v="15"/>
  </r>
  <r>
    <d v="2025-03-05T00:00:00"/>
    <s v="9989013005"/>
    <s v="PIZZERIA VIOLETTA"/>
    <n v="1"/>
    <x v="8"/>
  </r>
  <r>
    <d v="2025-03-05T00:00:00"/>
    <s v="9989013005"/>
    <s v="PIZZERIA VIOLETTA"/>
    <n v="1"/>
    <x v="19"/>
  </r>
  <r>
    <d v="2025-03-05T00:00:00"/>
    <s v="9989013005"/>
    <s v="PIZZERIA VIOLETTA"/>
    <n v="1"/>
    <x v="12"/>
  </r>
  <r>
    <d v="2025-03-05T00:00:00"/>
    <s v="9989013005"/>
    <s v="PIZZERIA VIOLETTA"/>
    <n v="1"/>
    <x v="5"/>
  </r>
  <r>
    <d v="2025-03-05T00:00:00"/>
    <s v="9989013005"/>
    <s v="PIZZERIA VIOLETTA"/>
    <n v="1"/>
    <x v="9"/>
  </r>
  <r>
    <d v="2025-03-06T00:00:00"/>
    <s v="9989013008"/>
    <s v="LIVERMORE CASINO"/>
    <n v="1"/>
    <x v="13"/>
  </r>
  <r>
    <d v="2025-03-06T00:00:00"/>
    <s v="9989013008"/>
    <s v="LIVERMORE CASINO"/>
    <n v="1"/>
    <x v="12"/>
  </r>
  <r>
    <d v="2025-03-06T00:00:00"/>
    <s v="9989013008"/>
    <s v="LIVERMORE CASINO"/>
    <n v="1"/>
    <x v="19"/>
  </r>
  <r>
    <d v="2025-03-06T00:00:00"/>
    <s v="9989013008"/>
    <s v="LIVERMORE CASINO"/>
    <n v="1"/>
    <x v="12"/>
  </r>
  <r>
    <d v="2025-03-06T00:00:00"/>
    <s v="9989013009"/>
    <s v="ISLAND SAVOY MARKET"/>
    <n v="2"/>
    <x v="4"/>
  </r>
  <r>
    <d v="2025-03-06T00:00:00"/>
    <s v="9989013009"/>
    <s v="ISLAND SAVOY MARKET"/>
    <n v="2"/>
    <x v="0"/>
  </r>
  <r>
    <d v="2025-03-06T00:00:00"/>
    <s v="9989013009"/>
    <s v="ISLAND SAVOY MARKET"/>
    <n v="1"/>
    <x v="2"/>
  </r>
  <r>
    <d v="2025-03-06T00:00:00"/>
    <s v="9989013009"/>
    <s v="ISLAND SAVOY MARKET"/>
    <n v="1"/>
    <x v="11"/>
  </r>
  <r>
    <d v="2025-03-06T00:00:00"/>
    <s v="9989013011"/>
    <s v="THE DIRTY BIRD LOUNGE LLC"/>
    <n v="3"/>
    <x v="10"/>
  </r>
  <r>
    <d v="2025-03-06T00:00:00"/>
    <s v="9989013011"/>
    <s v="THE DIRTY BIRD LOUNGE LLC"/>
    <n v="1"/>
    <x v="18"/>
  </r>
  <r>
    <d v="2025-03-06T00:00:00"/>
    <s v="9989013011"/>
    <s v="THE DIRTY BIRD LOUNGE LLC"/>
    <n v="1"/>
    <x v="14"/>
  </r>
  <r>
    <d v="2025-03-06T00:00:00"/>
    <s v="9989013011"/>
    <s v="THE DIRTY BIRD LOUNGE LLC"/>
    <n v="2"/>
    <x v="29"/>
  </r>
  <r>
    <d v="2025-03-06T00:00:00"/>
    <s v="9989013012"/>
    <s v="BIG FINISH WINE TAVERN"/>
    <n v="2"/>
    <x v="1"/>
  </r>
  <r>
    <d v="2025-03-06T00:00:00"/>
    <s v="9989013012"/>
    <s v="BIG FINISH WINE TAVERN"/>
    <n v="4"/>
    <x v="11"/>
  </r>
  <r>
    <d v="2025-03-06T00:00:00"/>
    <s v="9989013012"/>
    <s v="BIG FINISH WINE TAVERN"/>
    <n v="2"/>
    <x v="3"/>
  </r>
  <r>
    <d v="2025-03-06T00:00:00"/>
    <s v="9989013012"/>
    <s v="BIG FINISH WINE TAVERN"/>
    <n v="2"/>
    <x v="4"/>
  </r>
  <r>
    <d v="2025-03-06T00:00:00"/>
    <s v="9989013012"/>
    <s v="BIG FINISH WINE TAVERN"/>
    <n v="2"/>
    <x v="2"/>
  </r>
  <r>
    <d v="2025-03-06T00:00:00"/>
    <s v="9989013012"/>
    <s v="BIG FINISH WINE TAVERN"/>
    <n v="1"/>
    <x v="0"/>
  </r>
  <r>
    <d v="2025-03-06T00:00:00"/>
    <s v="9989013013"/>
    <s v="BALBOA THEATER"/>
    <n v="1"/>
    <x v="15"/>
  </r>
  <r>
    <d v="2025-03-06T00:00:00"/>
    <s v="9989013013"/>
    <s v="BALBOA THEATER"/>
    <n v="1"/>
    <x v="5"/>
  </r>
  <r>
    <d v="2025-03-06T00:00:00"/>
    <s v="9989013013"/>
    <s v="BALBOA THEATER"/>
    <n v="2"/>
    <x v="10"/>
  </r>
  <r>
    <d v="2025-03-06T00:00:00"/>
    <s v="9989013014"/>
    <s v="THE MELT (SANTA CLARA 0045)"/>
    <n v="1"/>
    <x v="8"/>
  </r>
  <r>
    <d v="2025-03-06T00:00:00"/>
    <s v="9989013014"/>
    <s v="THE MELT (SANTA CLARA 0045)"/>
    <n v="1"/>
    <x v="16"/>
  </r>
  <r>
    <d v="2025-03-06T00:00:00"/>
    <s v="9989013014"/>
    <s v="THE MELT (SANTA CLARA 0045)"/>
    <n v="1"/>
    <x v="5"/>
  </r>
  <r>
    <d v="2025-03-06T00:00:00"/>
    <s v="9989013015"/>
    <s v="MARTUNIS"/>
    <n v="1"/>
    <x v="15"/>
  </r>
  <r>
    <d v="2025-03-06T00:00:00"/>
    <s v="9989013015"/>
    <s v="MARTUNIS"/>
    <n v="1"/>
    <x v="18"/>
  </r>
  <r>
    <d v="2025-03-06T00:00:00"/>
    <s v="9989013016"/>
    <s v="STARBIRD CHICKEN - SAN JOSE"/>
    <n v="1"/>
    <x v="12"/>
  </r>
  <r>
    <d v="2025-03-06T00:00:00"/>
    <s v="9989013016"/>
    <s v="STARBIRD CHICKEN - SAN JOSE"/>
    <n v="1"/>
    <x v="8"/>
  </r>
  <r>
    <d v="2025-03-06T00:00:00"/>
    <s v="9989013016"/>
    <s v="STARBIRD CHICKEN - SAN JOSE"/>
    <n v="1"/>
    <x v="15"/>
  </r>
  <r>
    <d v="2025-03-06T00:00:00"/>
    <s v="9989013016"/>
    <s v="STARBIRD CHICKEN - SAN JOSE"/>
    <n v="1"/>
    <x v="23"/>
  </r>
  <r>
    <d v="2025-03-06T00:00:00"/>
    <s v="9989013016"/>
    <s v="STARBIRD CHICKEN - SAN JOSE"/>
    <n v="1"/>
    <x v="4"/>
  </r>
  <r>
    <d v="2025-03-06T00:00:00"/>
    <s v="9989013016"/>
    <s v="STARBIRD CHICKEN - SAN JOSE"/>
    <n v="1"/>
    <x v="3"/>
  </r>
  <r>
    <d v="2025-03-06T00:00:00"/>
    <s v="9989013018"/>
    <s v="STRAITS SANTANA ROW"/>
    <n v="1"/>
    <x v="15"/>
  </r>
  <r>
    <d v="2025-03-06T00:00:00"/>
    <s v="9989013018"/>
    <s v="STRAITS SANTANA ROW"/>
    <n v="1"/>
    <x v="8"/>
  </r>
  <r>
    <d v="2025-03-06T00:00:00"/>
    <s v="9989013018"/>
    <s v="STRAITS SANTANA ROW"/>
    <n v="1"/>
    <x v="12"/>
  </r>
  <r>
    <d v="2025-03-06T00:00:00"/>
    <s v="9989013018"/>
    <s v="STRAITS SANTANA ROW"/>
    <n v="1"/>
    <x v="28"/>
  </r>
  <r>
    <d v="2025-03-06T00:00:00"/>
    <s v="9989013018"/>
    <s v="STRAITS SANTANA ROW"/>
    <n v="1"/>
    <x v="10"/>
  </r>
  <r>
    <d v="2025-03-06T00:00:00"/>
    <s v="9989013019"/>
    <s v="CLUB CARIBE"/>
    <n v="3"/>
    <x v="14"/>
  </r>
  <r>
    <d v="2025-03-06T00:00:00"/>
    <s v="9989013019"/>
    <s v="CLUB CARIBE"/>
    <n v="1"/>
    <x v="28"/>
  </r>
  <r>
    <d v="2025-03-06T00:00:00"/>
    <s v="9989013019"/>
    <s v="CLUB CARIBE"/>
    <n v="1"/>
    <x v="29"/>
  </r>
  <r>
    <d v="2025-03-06T00:00:00"/>
    <s v="9989013020"/>
    <s v="MONROE"/>
    <n v="1"/>
    <x v="8"/>
  </r>
  <r>
    <d v="2025-03-06T00:00:00"/>
    <s v="9989013020"/>
    <s v="MONROE"/>
    <n v="1"/>
    <x v="12"/>
  </r>
  <r>
    <d v="2025-03-06T00:00:00"/>
    <s v="9989013020"/>
    <s v="MONROE"/>
    <n v="1"/>
    <x v="38"/>
  </r>
  <r>
    <d v="2025-03-06T00:00:00"/>
    <s v="9989013021"/>
    <s v="TOP DOG #3 LAK"/>
    <n v="1"/>
    <x v="26"/>
  </r>
  <r>
    <d v="2025-03-06T00:00:00"/>
    <s v="9989013021"/>
    <s v="TOP DOG #3 LAK"/>
    <n v="2"/>
    <x v="13"/>
  </r>
  <r>
    <d v="2025-03-06T00:00:00"/>
    <s v="9989013021"/>
    <s v="TOP DOG #3 LAK"/>
    <n v="4"/>
    <x v="5"/>
  </r>
  <r>
    <d v="2025-03-06T00:00:00"/>
    <s v="9989013021"/>
    <s v="TOP DOG #3 LAK"/>
    <n v="2"/>
    <x v="7"/>
  </r>
  <r>
    <d v="2025-03-06T00:00:00"/>
    <s v="9989013021"/>
    <s v="TOP DOG #3 LAK"/>
    <n v="1"/>
    <x v="9"/>
  </r>
  <r>
    <d v="2025-03-06T00:00:00"/>
    <s v="9989013021"/>
    <s v="TOP DOG #3 LAK"/>
    <n v="1"/>
    <x v="29"/>
  </r>
  <r>
    <d v="2025-03-06T00:00:00"/>
    <s v="9989013022"/>
    <s v="WHITE HORSE INN"/>
    <n v="2"/>
    <x v="19"/>
  </r>
  <r>
    <d v="2025-03-06T00:00:00"/>
    <s v="9989013022"/>
    <s v="WHITE HORSE INN"/>
    <n v="2"/>
    <x v="8"/>
  </r>
  <r>
    <d v="2025-03-06T00:00:00"/>
    <s v="9989013022"/>
    <s v="WHITE HORSE INN"/>
    <n v="1"/>
    <x v="18"/>
  </r>
  <r>
    <d v="2025-03-06T00:00:00"/>
    <s v="9989013024"/>
    <s v="LUCKY 13"/>
    <n v="1"/>
    <x v="12"/>
  </r>
  <r>
    <d v="2025-03-06T00:00:00"/>
    <s v="9989013024"/>
    <s v="LUCKY 13"/>
    <n v="1"/>
    <x v="14"/>
  </r>
  <r>
    <d v="2025-03-06T00:00:00"/>
    <s v="9989013024"/>
    <s v="LUCKY 13"/>
    <n v="1"/>
    <x v="18"/>
  </r>
  <r>
    <d v="2025-03-06T00:00:00"/>
    <s v="9989013024"/>
    <s v="LUCKY 13"/>
    <n v="1"/>
    <x v="8"/>
  </r>
  <r>
    <d v="2025-03-06T00:00:00"/>
    <s v="9989013024"/>
    <s v="LUCKY 13"/>
    <n v="1"/>
    <x v="10"/>
  </r>
  <r>
    <d v="2025-03-06T00:00:00"/>
    <s v="9989013025"/>
    <s v="ELBO ROOM JACK LONDON"/>
    <n v="1"/>
    <x v="14"/>
  </r>
  <r>
    <d v="2025-03-07T00:00:00"/>
    <s v="9989013026"/>
    <s v="THE MELT- PARADISE VALLEY AZ"/>
    <n v="2"/>
    <x v="16"/>
  </r>
  <r>
    <d v="2025-03-07T00:00:00"/>
    <s v="9989013026"/>
    <s v="THE MELT- PARADISE VALLEY AZ"/>
    <n v="4"/>
    <x v="8"/>
  </r>
  <r>
    <d v="2025-03-07T00:00:00"/>
    <s v="9989013026"/>
    <s v="THE MELT- PARADISE VALLEY AZ"/>
    <n v="3"/>
    <x v="15"/>
  </r>
  <r>
    <d v="2025-03-07T00:00:00"/>
    <s v="9989013026"/>
    <s v="THE MELT- PARADISE VALLEY AZ"/>
    <n v="1"/>
    <x v="10"/>
  </r>
  <r>
    <d v="2025-03-07T00:00:00"/>
    <s v="9989013026"/>
    <s v="THE MELT- PARADISE VALLEY AZ"/>
    <n v="1"/>
    <x v="12"/>
  </r>
  <r>
    <d v="2025-03-07T00:00:00"/>
    <s v="9989013026"/>
    <s v="THE MELT- PARADISE VALLEY AZ"/>
    <n v="2"/>
    <x v="5"/>
  </r>
  <r>
    <d v="2025-03-07T00:00:00"/>
    <s v="9989013027"/>
    <s v="STARBIRD CHICKEN - PALO ALTO"/>
    <n v="1"/>
    <x v="11"/>
  </r>
  <r>
    <d v="2025-03-07T00:00:00"/>
    <s v="9989013027"/>
    <s v="STARBIRD CHICKEN - PALO ALTO"/>
    <n v="1"/>
    <x v="4"/>
  </r>
  <r>
    <d v="2025-03-07T00:00:00"/>
    <s v="9989013028"/>
    <s v="SCOLARIS ON PARK ST"/>
    <n v="4"/>
    <x v="1"/>
  </r>
  <r>
    <d v="2025-03-07T00:00:00"/>
    <s v="9989013028"/>
    <s v="SCOLARIS ON PARK ST"/>
    <n v="4"/>
    <x v="4"/>
  </r>
  <r>
    <d v="2025-03-07T00:00:00"/>
    <s v="9989013028"/>
    <s v="SCOLARIS ON PARK ST"/>
    <n v="2"/>
    <x v="11"/>
  </r>
  <r>
    <d v="2025-03-07T00:00:00"/>
    <s v="9989013028"/>
    <s v="SCOLARIS ON PARK ST"/>
    <n v="2"/>
    <x v="2"/>
  </r>
  <r>
    <d v="2025-03-07T00:00:00"/>
    <s v="9989013028"/>
    <s v="SCOLARIS ON PARK ST"/>
    <n v="2"/>
    <x v="3"/>
  </r>
  <r>
    <d v="2025-03-07T00:00:00"/>
    <s v="9989013029"/>
    <s v="ENCINAL MARKET"/>
    <n v="2"/>
    <x v="1"/>
  </r>
  <r>
    <d v="2025-03-07T00:00:00"/>
    <s v="9989013029"/>
    <s v="ENCINAL MARKET"/>
    <n v="1"/>
    <x v="4"/>
  </r>
  <r>
    <d v="2025-03-07T00:00:00"/>
    <s v="9989013030"/>
    <s v="HOLE IN THE WALL"/>
    <n v="1"/>
    <x v="13"/>
  </r>
  <r>
    <d v="2025-03-07T00:00:00"/>
    <s v="9989013030"/>
    <s v="HOLE IN THE WALL"/>
    <n v="1"/>
    <x v="12"/>
  </r>
  <r>
    <d v="2025-03-07T00:00:00"/>
    <s v="9989013030"/>
    <s v="HOLE IN THE WALL"/>
    <n v="1"/>
    <x v="15"/>
  </r>
  <r>
    <d v="2025-03-07T00:00:00"/>
    <s v="9989013031"/>
    <s v="THE RANCHO SALOON"/>
    <n v="1"/>
    <x v="12"/>
  </r>
  <r>
    <d v="2025-03-07T00:00:00"/>
    <s v="9989013031"/>
    <s v="THE RANCHO SALOON"/>
    <n v="1"/>
    <x v="14"/>
  </r>
  <r>
    <d v="2025-03-07T00:00:00"/>
    <s v="9989013031"/>
    <s v="THE RANCHO SALOON"/>
    <n v="1"/>
    <x v="22"/>
  </r>
  <r>
    <d v="2025-03-07T00:00:00"/>
    <s v="9989013033"/>
    <s v="STARBIRD CHICKEN - CORTE MADERA"/>
    <n v="1"/>
    <x v="15"/>
  </r>
  <r>
    <d v="2025-03-07T00:00:00"/>
    <s v="9989013033"/>
    <s v="STARBIRD CHICKEN - CORTE MADERA"/>
    <n v="1"/>
    <x v="12"/>
  </r>
  <r>
    <d v="2025-03-07T00:00:00"/>
    <s v="9989013033"/>
    <s v="STARBIRD CHICKEN - CORTE MADERA"/>
    <n v="1"/>
    <x v="10"/>
  </r>
  <r>
    <d v="2025-03-07T00:00:00"/>
    <s v="9989013033"/>
    <s v="STARBIRD CHICKEN - CORTE MADERA"/>
    <n v="2"/>
    <x v="5"/>
  </r>
  <r>
    <d v="2025-03-07T00:00:00"/>
    <s v="9989013033"/>
    <s v="STARBIRD CHICKEN - CORTE MADERA"/>
    <n v="1"/>
    <x v="17"/>
  </r>
  <r>
    <d v="2025-03-07T00:00:00"/>
    <s v="9989013033"/>
    <s v="STARBIRD CHICKEN - CORTE MADERA"/>
    <n v="1"/>
    <x v="23"/>
  </r>
  <r>
    <d v="2025-03-07T00:00:00"/>
    <s v="9989013033"/>
    <s v="STARBIRD CHICKEN - CORTE MADERA"/>
    <n v="1"/>
    <x v="1"/>
  </r>
  <r>
    <d v="2025-03-07T00:00:00"/>
    <s v="9989013033"/>
    <s v="STARBIRD CHICKEN - CORTE MADERA"/>
    <n v="1"/>
    <x v="11"/>
  </r>
  <r>
    <d v="2025-03-07T00:00:00"/>
    <s v="9989013033"/>
    <s v="STARBIRD CHICKEN - CORTE MADERA"/>
    <n v="1"/>
    <x v="4"/>
  </r>
  <r>
    <d v="2025-03-07T00:00:00"/>
    <s v="9989013033"/>
    <s v="STARBIRD CHICKEN - CORTE MADERA"/>
    <n v="1"/>
    <x v="3"/>
  </r>
  <r>
    <d v="2025-03-07T00:00:00"/>
    <s v="9989013034"/>
    <s v="GATHER"/>
    <n v="2"/>
    <x v="11"/>
  </r>
  <r>
    <d v="2025-03-07T00:00:00"/>
    <s v="9989013034"/>
    <s v="GATHER"/>
    <n v="3"/>
    <x v="1"/>
  </r>
  <r>
    <d v="2025-03-07T00:00:00"/>
    <s v="9989013035"/>
    <s v="THE MELT (DANVILLE)"/>
    <n v="2"/>
    <x v="15"/>
  </r>
  <r>
    <d v="2025-03-07T00:00:00"/>
    <s v="9989013035"/>
    <s v="THE MELT (DANVILLE)"/>
    <n v="1"/>
    <x v="16"/>
  </r>
  <r>
    <d v="2025-03-07T00:00:00"/>
    <s v="9989013035"/>
    <s v="THE MELT (DANVILLE)"/>
    <n v="1"/>
    <x v="8"/>
  </r>
  <r>
    <d v="2025-03-07T00:00:00"/>
    <s v="9989013035"/>
    <s v="THE MELT (DANVILLE)"/>
    <n v="1"/>
    <x v="10"/>
  </r>
  <r>
    <d v="2025-03-07T00:00:00"/>
    <s v="9989013035"/>
    <s v="THE MELT (DANVILLE)"/>
    <n v="1"/>
    <x v="12"/>
  </r>
  <r>
    <d v="2025-03-07T00:00:00"/>
    <s v="9989013035"/>
    <s v="THE MELT (DANVILLE)"/>
    <n v="1"/>
    <x v="5"/>
  </r>
  <r>
    <d v="2025-03-07T00:00:00"/>
    <s v="9989013042"/>
    <s v="JUPITER"/>
    <n v="1"/>
    <x v="27"/>
  </r>
  <r>
    <d v="2025-03-07T00:00:00"/>
    <s v="9989013042"/>
    <s v="JUPITER"/>
    <n v="1"/>
    <x v="26"/>
  </r>
  <r>
    <d v="2025-03-07T00:00:00"/>
    <s v="9989013042"/>
    <s v="JUPITER"/>
    <n v="2"/>
    <x v="13"/>
  </r>
  <r>
    <d v="2025-03-07T00:00:00"/>
    <s v="9989013042"/>
    <s v="JUPITER"/>
    <n v="2"/>
    <x v="5"/>
  </r>
  <r>
    <d v="2025-03-10T00:00:00"/>
    <s v="9989013043"/>
    <s v="THE MELT (SACRAMENTO-BLVD)"/>
    <n v="2"/>
    <x v="8"/>
  </r>
  <r>
    <d v="2025-03-10T00:00:00"/>
    <s v="9989013043"/>
    <s v="THE MELT (SACRAMENTO-BLVD)"/>
    <n v="1"/>
    <x v="15"/>
  </r>
  <r>
    <d v="2025-03-10T00:00:00"/>
    <s v="9989013043"/>
    <s v="THE MELT (SACRAMENTO-BLVD)"/>
    <n v="3"/>
    <x v="10"/>
  </r>
  <r>
    <d v="2025-03-10T00:00:00"/>
    <s v="9989013043"/>
    <s v="THE MELT (SACRAMENTO-BLVD)"/>
    <n v="2"/>
    <x v="5"/>
  </r>
  <r>
    <d v="2025-03-10T00:00:00"/>
    <s v="9989013044"/>
    <s v="THE MELT (FOLSOM)"/>
    <n v="2"/>
    <x v="16"/>
  </r>
  <r>
    <d v="2025-03-10T00:00:00"/>
    <s v="9989013044"/>
    <s v="THE MELT (FOLSOM)"/>
    <n v="1"/>
    <x v="8"/>
  </r>
  <r>
    <d v="2025-03-10T00:00:00"/>
    <s v="9989013044"/>
    <s v="THE MELT (FOLSOM)"/>
    <n v="1"/>
    <x v="15"/>
  </r>
  <r>
    <d v="2025-03-10T00:00:00"/>
    <s v="9989013044"/>
    <s v="THE MELT (FOLSOM)"/>
    <n v="1"/>
    <x v="12"/>
  </r>
  <r>
    <d v="2025-03-10T00:00:00"/>
    <s v="9989013044"/>
    <s v="THE MELT (FOLSOM)"/>
    <n v="1"/>
    <x v="9"/>
  </r>
  <r>
    <d v="2025-03-10T00:00:00"/>
    <s v="9989013044"/>
    <s v="THE MELT (FOLSOM)"/>
    <n v="2"/>
    <x v="5"/>
  </r>
  <r>
    <d v="2025-03-10T00:00:00"/>
    <s v="9989013046"/>
    <s v="BI-RITE MARKET 18th ST"/>
    <n v="4"/>
    <x v="4"/>
  </r>
  <r>
    <d v="2025-03-10T00:00:00"/>
    <s v="9989013046"/>
    <s v="BI-RITE MARKET 18th ST"/>
    <n v="2"/>
    <x v="2"/>
  </r>
  <r>
    <d v="2025-03-10T00:00:00"/>
    <s v="9989013047"/>
    <s v="Bi-RITE MARKET DIVISADERO"/>
    <n v="5"/>
    <x v="4"/>
  </r>
  <r>
    <d v="2025-03-10T00:00:00"/>
    <s v="9989013047"/>
    <s v="Bi-RITE MARKET DIVISADERO"/>
    <n v="1"/>
    <x v="2"/>
  </r>
  <r>
    <d v="2025-03-10T00:00:00"/>
    <s v="9989013047"/>
    <s v="Bi-RITE MARKET DIVISADERO"/>
    <n v="1"/>
    <x v="3"/>
  </r>
  <r>
    <d v="2025-03-10T00:00:00"/>
    <s v="9989013048"/>
    <s v="BI-RITE MARKET POLK ST"/>
    <n v="2"/>
    <x v="4"/>
  </r>
  <r>
    <d v="2025-03-10T00:00:00"/>
    <s v="9989013048"/>
    <s v="BI-RITE MARKET POLK ST"/>
    <n v="2"/>
    <x v="2"/>
  </r>
  <r>
    <d v="2025-03-10T00:00:00"/>
    <s v="9989013048"/>
    <s v="BI-RITE MARKET POLK ST"/>
    <n v="2"/>
    <x v="3"/>
  </r>
  <r>
    <d v="2025-03-10T00:00:00"/>
    <s v="9989013049"/>
    <s v="STARBIRD CHICKEN - PLEASANTON"/>
    <n v="1"/>
    <x v="8"/>
  </r>
  <r>
    <d v="2025-03-10T00:00:00"/>
    <s v="9989013049"/>
    <s v="STARBIRD CHICKEN - PLEASANTON"/>
    <n v="1"/>
    <x v="15"/>
  </r>
  <r>
    <d v="2025-03-10T00:00:00"/>
    <s v="9989013049"/>
    <s v="STARBIRD CHICKEN - PLEASANTON"/>
    <n v="1"/>
    <x v="5"/>
  </r>
  <r>
    <d v="2025-03-10T00:00:00"/>
    <s v="9989013049"/>
    <s v="STARBIRD CHICKEN - PLEASANTON"/>
    <n v="1"/>
    <x v="23"/>
  </r>
  <r>
    <d v="2025-03-10T00:00:00"/>
    <s v="9989013049"/>
    <s v="STARBIRD CHICKEN - PLEASANTON"/>
    <n v="1"/>
    <x v="17"/>
  </r>
  <r>
    <d v="2025-03-10T00:00:00"/>
    <s v="9989013049"/>
    <s v="STARBIRD CHICKEN - PLEASANTON"/>
    <n v="1"/>
    <x v="1"/>
  </r>
  <r>
    <d v="2025-03-10T00:00:00"/>
    <s v="9989013050"/>
    <s v="SLICE HOUSE"/>
    <n v="1"/>
    <x v="8"/>
  </r>
  <r>
    <d v="2025-03-10T00:00:00"/>
    <s v="9989013050"/>
    <s v="SLICE HOUSE"/>
    <n v="1"/>
    <x v="5"/>
  </r>
  <r>
    <d v="2025-03-10T00:00:00"/>
    <s v="9989013050"/>
    <s v="SLICE HOUSE"/>
    <n v="1"/>
    <x v="15"/>
  </r>
  <r>
    <d v="2025-03-11T00:00:00"/>
    <s v="9989013051"/>
    <s v="THE MELT (455 MARKET)"/>
    <n v="3"/>
    <x v="8"/>
  </r>
  <r>
    <d v="2025-03-11T00:00:00"/>
    <s v="9989013051"/>
    <s v="THE MELT (455 MARKET)"/>
    <n v="1"/>
    <x v="5"/>
  </r>
  <r>
    <d v="2025-03-11T00:00:00"/>
    <s v="9989013051"/>
    <s v="THE MELT (455 MARKET)"/>
    <n v="1"/>
    <x v="9"/>
  </r>
  <r>
    <d v="2025-03-11T00:00:00"/>
    <s v="9989013051"/>
    <s v="THE MELT (455 MARKET)"/>
    <n v="2"/>
    <x v="12"/>
  </r>
  <r>
    <d v="2025-03-11T00:00:00"/>
    <s v="9989013051"/>
    <s v="THE MELT (455 MARKET)"/>
    <n v="1"/>
    <x v="15"/>
  </r>
  <r>
    <d v="2025-03-11T00:00:00"/>
    <s v="9989013051"/>
    <s v="THE MELT (455 MARKET)"/>
    <n v="2"/>
    <x v="10"/>
  </r>
  <r>
    <d v="2025-03-11T00:00:00"/>
    <s v="9989013053"/>
    <s v="PIXAR ANIMATION STUDIOS"/>
    <n v="1"/>
    <x v="12"/>
  </r>
  <r>
    <d v="2025-03-11T00:00:00"/>
    <s v="9989013053"/>
    <s v="PIXAR ANIMATION STUDIOS"/>
    <n v="1"/>
    <x v="9"/>
  </r>
  <r>
    <d v="2025-03-11T00:00:00"/>
    <s v="9989013053"/>
    <s v="PIXAR ANIMATION STUDIOS"/>
    <n v="2"/>
    <x v="7"/>
  </r>
  <r>
    <d v="2025-03-11T00:00:00"/>
    <s v="9989013055"/>
    <s v="STARBIRD CHICKEN - SF CLOUD"/>
    <n v="5"/>
    <x v="1"/>
  </r>
  <r>
    <d v="2025-03-11T00:00:00"/>
    <s v="9989013055"/>
    <s v="STARBIRD CHICKEN - SF CLOUD"/>
    <n v="3"/>
    <x v="11"/>
  </r>
  <r>
    <d v="2025-03-11T00:00:00"/>
    <s v="9989013055"/>
    <s v="STARBIRD CHICKEN - SF CLOUD"/>
    <n v="3"/>
    <x v="3"/>
  </r>
  <r>
    <d v="2025-03-11T00:00:00"/>
    <s v="9989013055"/>
    <s v="STARBIRD CHICKEN - SF CLOUD"/>
    <n v="3"/>
    <x v="4"/>
  </r>
  <r>
    <d v="2025-03-11T00:00:00"/>
    <s v="9989013056"/>
    <s v="BALBOA THEATER"/>
    <n v="1"/>
    <x v="7"/>
  </r>
  <r>
    <d v="2025-03-11T00:00:00"/>
    <s v="9989013057"/>
    <s v="4 STAR THEATRE"/>
    <n v="1"/>
    <x v="8"/>
  </r>
  <r>
    <d v="2025-03-11T00:00:00"/>
    <s v="9989013057"/>
    <s v="4 STAR THEATRE"/>
    <n v="1"/>
    <x v="5"/>
  </r>
  <r>
    <d v="2025-03-11T00:00:00"/>
    <s v="9989013057"/>
    <s v="4 STAR THEATRE"/>
    <n v="1"/>
    <x v="10"/>
  </r>
  <r>
    <d v="2025-03-11T00:00:00"/>
    <s v="9989013059"/>
    <s v="THE FACTORY BAR"/>
    <n v="1"/>
    <x v="13"/>
  </r>
  <r>
    <d v="2025-03-11T00:00:00"/>
    <s v="9989013059"/>
    <s v="THE FACTORY BAR"/>
    <n v="1"/>
    <x v="12"/>
  </r>
  <r>
    <d v="2025-03-11T00:00:00"/>
    <s v="9989013059"/>
    <s v="THE FACTORY BAR"/>
    <n v="1"/>
    <x v="14"/>
  </r>
  <r>
    <d v="2025-03-11T00:00:00"/>
    <s v="9989013059"/>
    <s v="THE FACTORY BAR"/>
    <n v="1"/>
    <x v="18"/>
  </r>
  <r>
    <d v="2025-03-11T00:00:00"/>
    <s v="9989013060"/>
    <s v="CLUB MALLARD"/>
    <n v="1"/>
    <x v="19"/>
  </r>
  <r>
    <d v="2025-03-11T00:00:00"/>
    <s v="9989013061"/>
    <s v="THE DEAD FISH"/>
    <n v="1"/>
    <x v="26"/>
  </r>
  <r>
    <d v="2025-03-11T00:00:00"/>
    <s v="9989013061"/>
    <s v="THE DEAD FISH"/>
    <n v="1"/>
    <x v="13"/>
  </r>
  <r>
    <d v="2025-03-11T00:00:00"/>
    <s v="9989013061"/>
    <s v="THE DEAD FISH"/>
    <n v="1"/>
    <x v="27"/>
  </r>
  <r>
    <d v="2025-03-11T00:00:00"/>
    <s v="9989013061"/>
    <s v="THE DEAD FISH"/>
    <n v="1"/>
    <x v="18"/>
  </r>
  <r>
    <d v="2025-03-11T00:00:00"/>
    <s v="9989013061"/>
    <s v="THE DEAD FISH"/>
    <n v="2"/>
    <x v="24"/>
  </r>
  <r>
    <d v="2025-03-11T00:00:00"/>
    <s v="9989013061"/>
    <s v="THE DEAD FISH"/>
    <n v="2"/>
    <x v="7"/>
  </r>
  <r>
    <d v="2025-03-11T00:00:00"/>
    <s v="9989013061"/>
    <s v="THE DEAD FISH"/>
    <n v="1"/>
    <x v="19"/>
  </r>
  <r>
    <d v="2025-03-11T00:00:00"/>
    <s v="9989013062"/>
    <s v="ACME BAR &amp; COMPANY"/>
    <n v="1"/>
    <x v="14"/>
  </r>
  <r>
    <d v="2025-03-11T00:00:00"/>
    <s v="9989013062"/>
    <s v="ACME BAR &amp; COMPANY"/>
    <n v="1"/>
    <x v="12"/>
  </r>
  <r>
    <d v="2025-03-11T00:00:00"/>
    <s v="9989013062"/>
    <s v="ACME BAR &amp; COMPANY"/>
    <n v="1"/>
    <x v="8"/>
  </r>
  <r>
    <d v="2025-03-11T00:00:00"/>
    <s v="9989013063"/>
    <s v="BERKELEY TAP HAUS"/>
    <n v="1"/>
    <x v="19"/>
  </r>
  <r>
    <d v="2025-03-11T00:00:00"/>
    <s v="9989013063"/>
    <s v="BERKELEY TAP HAUS"/>
    <n v="1"/>
    <x v="12"/>
  </r>
  <r>
    <d v="2025-03-11T00:00:00"/>
    <s v="9989013066"/>
    <s v="2101 CLUB"/>
    <n v="1"/>
    <x v="14"/>
  </r>
  <r>
    <d v="2025-03-11T00:00:00"/>
    <s v="9989013066"/>
    <s v="2101 CLUB"/>
    <n v="1"/>
    <x v="22"/>
  </r>
  <r>
    <d v="2025-03-11T00:00:00"/>
    <s v="9989013066"/>
    <s v="2101 CLUB"/>
    <n v="1"/>
    <x v="8"/>
  </r>
  <r>
    <d v="2025-03-12T00:00:00"/>
    <s v="9989013067"/>
    <s v="STARBIRD CHICKEN - SOUTH SAN FRANCISCO"/>
    <n v="4"/>
    <x v="8"/>
  </r>
  <r>
    <d v="2025-03-12T00:00:00"/>
    <s v="9989013067"/>
    <s v="STARBIRD CHICKEN - SOUTH SAN FRANCISCO"/>
    <n v="3"/>
    <x v="12"/>
  </r>
  <r>
    <d v="2025-03-12T00:00:00"/>
    <s v="9989013067"/>
    <s v="STARBIRD CHICKEN - SOUTH SAN FRANCISCO"/>
    <n v="2"/>
    <x v="5"/>
  </r>
  <r>
    <d v="2025-03-12T00:00:00"/>
    <s v="9989013067"/>
    <s v="STARBIRD CHICKEN - SOUTH SAN FRANCISCO"/>
    <n v="3"/>
    <x v="15"/>
  </r>
  <r>
    <d v="2025-03-12T00:00:00"/>
    <s v="9989013067"/>
    <s v="STARBIRD CHICKEN - SOUTH SAN FRANCISCO"/>
    <n v="2"/>
    <x v="17"/>
  </r>
  <r>
    <d v="2025-03-12T00:00:00"/>
    <s v="9989013067"/>
    <s v="STARBIRD CHICKEN - SOUTH SAN FRANCISCO"/>
    <n v="2"/>
    <x v="10"/>
  </r>
  <r>
    <d v="2025-03-12T00:00:00"/>
    <s v="9989013067"/>
    <s v="STARBIRD CHICKEN - SOUTH SAN FRANCISCO"/>
    <n v="3"/>
    <x v="11"/>
  </r>
  <r>
    <d v="2025-03-12T00:00:00"/>
    <s v="9989013067"/>
    <s v="STARBIRD CHICKEN - SOUTH SAN FRANCISCO"/>
    <n v="3"/>
    <x v="1"/>
  </r>
  <r>
    <d v="2025-03-12T00:00:00"/>
    <s v="9989013068"/>
    <s v="CAMERONS RESTAURANT &amp; PUB"/>
    <n v="2"/>
    <x v="24"/>
  </r>
  <r>
    <d v="2025-03-12T00:00:00"/>
    <s v="9989013068"/>
    <s v="CAMERONS RESTAURANT &amp; PUB"/>
    <n v="1"/>
    <x v="5"/>
  </r>
  <r>
    <d v="2025-03-12T00:00:00"/>
    <s v="9989013068"/>
    <s v="CAMERONS RESTAURANT &amp; PUB"/>
    <n v="1"/>
    <x v="15"/>
  </r>
  <r>
    <d v="2025-03-12T00:00:00"/>
    <s v="9989013068"/>
    <s v="CAMERONS RESTAURANT &amp; PUB"/>
    <n v="1"/>
    <x v="7"/>
  </r>
  <r>
    <d v="2025-03-12T00:00:00"/>
    <s v="9989013068"/>
    <s v="CAMERONS RESTAURANT &amp; PUB"/>
    <n v="1"/>
    <x v="6"/>
  </r>
  <r>
    <d v="2025-03-12T00:00:00"/>
    <s v="9989013068"/>
    <s v="CAMERONS RESTAURANT &amp; PUB"/>
    <n v="1"/>
    <x v="12"/>
  </r>
  <r>
    <d v="2025-03-12T00:00:00"/>
    <s v="9989013069"/>
    <s v="THE MELT (STANFORD)"/>
    <n v="2"/>
    <x v="8"/>
  </r>
  <r>
    <d v="2025-03-12T00:00:00"/>
    <s v="9989013069"/>
    <s v="THE MELT (STANFORD)"/>
    <n v="1"/>
    <x v="9"/>
  </r>
  <r>
    <d v="2025-03-12T00:00:00"/>
    <s v="9989013069"/>
    <s v="THE MELT (STANFORD)"/>
    <n v="1"/>
    <x v="12"/>
  </r>
  <r>
    <d v="2025-03-12T00:00:00"/>
    <s v="9989013069"/>
    <s v="THE MELT (STANFORD)"/>
    <n v="1"/>
    <x v="15"/>
  </r>
  <r>
    <d v="2025-03-12T00:00:00"/>
    <s v="9989013069"/>
    <s v="THE MELT (STANFORD)"/>
    <n v="1"/>
    <x v="5"/>
  </r>
  <r>
    <d v="2025-03-12T00:00:00"/>
    <s v="9989013069"/>
    <s v="THE MELT (STANFORD)"/>
    <n v="1"/>
    <x v="10"/>
  </r>
  <r>
    <d v="2025-03-12T00:00:00"/>
    <s v="9989013070"/>
    <s v="MONTE CARLO"/>
    <n v="2"/>
    <x v="14"/>
  </r>
  <r>
    <d v="2025-03-12T00:00:00"/>
    <s v="9989013070"/>
    <s v="MONTE CARLO"/>
    <n v="2"/>
    <x v="28"/>
  </r>
  <r>
    <d v="2025-03-12T00:00:00"/>
    <s v="9989013070"/>
    <s v="MONTE CARLO"/>
    <n v="2"/>
    <x v="22"/>
  </r>
  <r>
    <d v="2025-03-12T00:00:00"/>
    <s v="9989013071"/>
    <s v="CALI KID BURGERS AND SHAKES"/>
    <n v="1"/>
    <x v="15"/>
  </r>
  <r>
    <d v="2025-03-12T00:00:00"/>
    <s v="9989013071"/>
    <s v="CALI KID BURGERS AND SHAKES"/>
    <n v="1"/>
    <x v="8"/>
  </r>
  <r>
    <d v="2025-03-12T00:00:00"/>
    <s v="9989013071"/>
    <s v="CALI KID BURGERS AND SHAKES"/>
    <n v="1"/>
    <x v="9"/>
  </r>
  <r>
    <d v="2025-03-12T00:00:00"/>
    <s v="9989013071"/>
    <s v="CALI KID BURGERS AND SHAKES"/>
    <n v="1"/>
    <x v="12"/>
  </r>
  <r>
    <d v="2025-03-12T00:00:00"/>
    <s v="9989013071"/>
    <s v="CALI KID BURGERS AND SHAKES"/>
    <n v="1"/>
    <x v="17"/>
  </r>
  <r>
    <d v="2025-03-12T00:00:00"/>
    <s v="9989013071"/>
    <s v="CALI KID BURGERS AND SHAKES"/>
    <n v="1"/>
    <x v="5"/>
  </r>
  <r>
    <d v="2025-03-12T00:00:00"/>
    <s v="9989013071"/>
    <s v="CALI KID BURGERS AND SHAKES"/>
    <n v="1"/>
    <x v="10"/>
  </r>
  <r>
    <d v="2025-03-12T00:00:00"/>
    <s v="9989013072"/>
    <s v="STARBIRD CHICKEN - SUNNYVALE"/>
    <n v="1"/>
    <x v="8"/>
  </r>
  <r>
    <d v="2025-03-12T00:00:00"/>
    <s v="9989013072"/>
    <s v="STARBIRD CHICKEN - SUNNYVALE"/>
    <n v="1"/>
    <x v="15"/>
  </r>
  <r>
    <d v="2025-03-12T00:00:00"/>
    <s v="9989013072"/>
    <s v="STARBIRD CHICKEN - SUNNYVALE"/>
    <n v="2"/>
    <x v="5"/>
  </r>
  <r>
    <d v="2025-03-12T00:00:00"/>
    <s v="9989013072"/>
    <s v="STARBIRD CHICKEN - SUNNYVALE"/>
    <n v="2"/>
    <x v="10"/>
  </r>
  <r>
    <d v="2025-03-12T00:00:00"/>
    <s v="9989013072"/>
    <s v="STARBIRD CHICKEN - SUNNYVALE"/>
    <n v="2"/>
    <x v="17"/>
  </r>
  <r>
    <d v="2025-03-12T00:00:00"/>
    <s v="9989013072"/>
    <s v="STARBIRD CHICKEN - SUNNYVALE"/>
    <n v="1"/>
    <x v="23"/>
  </r>
  <r>
    <d v="2025-03-12T00:00:00"/>
    <s v="9989013072"/>
    <s v="STARBIRD CHICKEN - SUNNYVALE"/>
    <n v="3"/>
    <x v="1"/>
  </r>
  <r>
    <d v="2025-03-12T00:00:00"/>
    <s v="9989013072"/>
    <s v="STARBIRD CHICKEN - SUNNYVALE"/>
    <n v="2"/>
    <x v="11"/>
  </r>
  <r>
    <d v="2025-03-12T00:00:00"/>
    <s v="9989013072"/>
    <s v="STARBIRD CHICKEN - SUNNYVALE"/>
    <n v="3"/>
    <x v="4"/>
  </r>
  <r>
    <d v="2025-03-12T00:00:00"/>
    <s v="9989013073"/>
    <s v="LIVERMORE CASINO"/>
    <n v="1"/>
    <x v="13"/>
  </r>
  <r>
    <d v="2025-03-12T00:00:00"/>
    <s v="9989013073"/>
    <s v="LIVERMORE CASINO"/>
    <n v="2"/>
    <x v="24"/>
  </r>
  <r>
    <d v="2025-03-12T00:00:00"/>
    <s v="9989013073"/>
    <s v="LIVERMORE CASINO"/>
    <n v="1"/>
    <x v="21"/>
  </r>
  <r>
    <d v="2025-03-12T00:00:00"/>
    <s v="9989013073"/>
    <s v="LIVERMORE CASINO"/>
    <n v="1"/>
    <x v="5"/>
  </r>
  <r>
    <d v="2025-03-12T00:00:00"/>
    <s v="9989013074"/>
    <s v="THE MELT (SUNNYVALE #0043)"/>
    <n v="1"/>
    <x v="8"/>
  </r>
  <r>
    <d v="2025-03-12T00:00:00"/>
    <s v="9989013074"/>
    <s v="THE MELT (SUNNYVALE #0043)"/>
    <n v="1"/>
    <x v="15"/>
  </r>
  <r>
    <d v="2025-03-12T00:00:00"/>
    <s v="9989013074"/>
    <s v="THE MELT (SUNNYVALE #0043)"/>
    <n v="1"/>
    <x v="5"/>
  </r>
  <r>
    <d v="2025-03-12T00:00:00"/>
    <s v="9989013075"/>
    <s v="PAUL &amp; EDDIES &amp; ASSOCIATES"/>
    <n v="1"/>
    <x v="8"/>
  </r>
  <r>
    <d v="2025-03-12T00:00:00"/>
    <s v="9989013076"/>
    <s v="PENINSULA ITALIAN AMERICAN CLUB"/>
    <n v="2"/>
    <x v="8"/>
  </r>
  <r>
    <d v="2025-03-12T00:00:00"/>
    <s v="9989013076"/>
    <s v="PENINSULA ITALIAN AMERICAN CLUB"/>
    <n v="2"/>
    <x v="12"/>
  </r>
  <r>
    <d v="2025-03-12T00:00:00"/>
    <s v="9989013076"/>
    <s v="PENINSULA ITALIAN AMERICAN CLUB"/>
    <n v="2"/>
    <x v="19"/>
  </r>
  <r>
    <d v="2025-03-12T00:00:00"/>
    <s v="9989013076"/>
    <s v="PENINSULA ITALIAN AMERICAN CLUB"/>
    <n v="1"/>
    <x v="18"/>
  </r>
  <r>
    <d v="2025-03-12T00:00:00"/>
    <s v="9989013076"/>
    <s v="PENINSULA ITALIAN AMERICAN CLUB"/>
    <n v="1"/>
    <x v="15"/>
  </r>
  <r>
    <d v="2025-03-12T00:00:00"/>
    <s v="9989013077"/>
    <s v="THE MELT (DANVILLE)"/>
    <n v="1"/>
    <x v="16"/>
  </r>
  <r>
    <d v="2025-03-12T00:00:00"/>
    <s v="9989013077"/>
    <s v="THE MELT (DANVILLE)"/>
    <n v="1"/>
    <x v="8"/>
  </r>
  <r>
    <d v="2025-03-12T00:00:00"/>
    <s v="9989013077"/>
    <s v="THE MELT (DANVILLE)"/>
    <n v="1"/>
    <x v="10"/>
  </r>
  <r>
    <d v="2025-03-12T00:00:00"/>
    <s v="9989013077"/>
    <s v="THE MELT (DANVILLE)"/>
    <n v="1"/>
    <x v="9"/>
  </r>
  <r>
    <d v="2025-03-12T00:00:00"/>
    <s v="9989013077"/>
    <s v="THE MELT (DANVILLE)"/>
    <n v="1"/>
    <x v="5"/>
  </r>
  <r>
    <d v="2025-03-12T00:00:00"/>
    <s v="9989013078"/>
    <s v="DANVILLE BREWERY"/>
    <n v="1"/>
    <x v="26"/>
  </r>
  <r>
    <d v="2025-03-12T00:00:00"/>
    <s v="9989013078"/>
    <s v="DANVILLE BREWERY"/>
    <n v="1"/>
    <x v="13"/>
  </r>
  <r>
    <d v="2025-03-12T00:00:00"/>
    <s v="9989013078"/>
    <s v="DANVILLE BREWERY"/>
    <n v="1"/>
    <x v="27"/>
  </r>
  <r>
    <d v="2025-03-12T00:00:00"/>
    <s v="9989013079"/>
    <s v="MOLLY O'S"/>
    <n v="1"/>
    <x v="8"/>
  </r>
  <r>
    <d v="2025-03-12T00:00:00"/>
    <s v="9989013079"/>
    <s v="MOLLY O'S"/>
    <n v="1"/>
    <x v="15"/>
  </r>
  <r>
    <d v="2025-03-12T00:00:00"/>
    <s v="9989013079"/>
    <s v="MOLLY O'S"/>
    <n v="1"/>
    <x v="12"/>
  </r>
  <r>
    <d v="2025-03-12T00:00:00"/>
    <s v="9989013079"/>
    <s v="MOLLY O'S"/>
    <n v="1"/>
    <x v="18"/>
  </r>
  <r>
    <d v="2025-03-12T00:00:00"/>
    <s v="9989013079"/>
    <s v="MOLLY O'S"/>
    <n v="1"/>
    <x v="24"/>
  </r>
  <r>
    <d v="2025-03-12T00:00:00"/>
    <s v="9989013081"/>
    <s v="HEADLANDS BREWING - WALNUT CREEK"/>
    <n v="1"/>
    <x v="24"/>
  </r>
  <r>
    <d v="2025-03-12T00:00:00"/>
    <s v="9989013081"/>
    <s v="HEADLANDS BREWING - WALNUT CREEK"/>
    <n v="1"/>
    <x v="10"/>
  </r>
  <r>
    <d v="2025-03-12T00:00:00"/>
    <s v="9989013081"/>
    <s v="HEADLANDS BREWING - WALNUT CREEK"/>
    <n v="1"/>
    <x v="12"/>
  </r>
  <r>
    <d v="2025-03-12T00:00:00"/>
    <s v="9989013082"/>
    <s v="LUNA LOCA (JAINS FOODS)"/>
    <n v="1"/>
    <x v="14"/>
  </r>
  <r>
    <d v="2025-03-12T00:00:00"/>
    <s v="9989013082"/>
    <s v="LUNA LOCA (JAINS FOODS)"/>
    <n v="1"/>
    <x v="12"/>
  </r>
  <r>
    <d v="2025-03-12T00:00:00"/>
    <s v="9989013082"/>
    <s v="LUNA LOCA (JAINS FOODS)"/>
    <n v="1"/>
    <x v="8"/>
  </r>
  <r>
    <d v="2025-03-12T00:00:00"/>
    <s v="9989013082"/>
    <s v="LUNA LOCA (JAINS FOODS)"/>
    <n v="1"/>
    <x v="15"/>
  </r>
  <r>
    <d v="2025-03-12T00:00:00"/>
    <s v="9989013083"/>
    <s v="HEADLANDS BREWING - LAFAYETTE"/>
    <n v="1"/>
    <x v="15"/>
  </r>
  <r>
    <d v="2025-03-12T00:00:00"/>
    <s v="9989013083"/>
    <s v="HEADLANDS BREWING - LAFAYETTE"/>
    <n v="1"/>
    <x v="8"/>
  </r>
  <r>
    <d v="2025-03-12T00:00:00"/>
    <s v="9989013083"/>
    <s v="HEADLANDS BREWING - LAFAYETTE"/>
    <n v="1"/>
    <x v="12"/>
  </r>
  <r>
    <d v="2025-03-12T00:00:00"/>
    <s v="9989013083"/>
    <s v="HEADLANDS BREWING - LAFAYETTE"/>
    <n v="1"/>
    <x v="5"/>
  </r>
  <r>
    <d v="2025-03-12T00:00:00"/>
    <s v="9989013084"/>
    <s v="CANYON CLUB BREWERY"/>
    <n v="2"/>
    <x v="7"/>
  </r>
  <r>
    <d v="2025-03-12T00:00:00"/>
    <s v="9989013084"/>
    <s v="CANYON CLUB BREWERY"/>
    <n v="1"/>
    <x v="12"/>
  </r>
  <r>
    <d v="2025-03-12T00:00:00"/>
    <s v="9989013085"/>
    <s v="THE YARD"/>
    <n v="2"/>
    <x v="27"/>
  </r>
  <r>
    <d v="2025-03-12T00:00:00"/>
    <s v="9989013085"/>
    <s v="THE YARD"/>
    <n v="1"/>
    <x v="13"/>
  </r>
  <r>
    <d v="2025-03-12T00:00:00"/>
    <s v="9989013085"/>
    <s v="THE YARD"/>
    <n v="1"/>
    <x v="26"/>
  </r>
  <r>
    <d v="2025-03-12T00:00:00"/>
    <s v="9989013085"/>
    <s v="THE YARD"/>
    <n v="2"/>
    <x v="17"/>
  </r>
  <r>
    <d v="2025-03-12T00:00:00"/>
    <s v="9989013085"/>
    <s v="THE YARD"/>
    <n v="2"/>
    <x v="5"/>
  </r>
  <r>
    <d v="2025-03-12T00:00:00"/>
    <s v="9989013085"/>
    <s v="THE YARD"/>
    <n v="2"/>
    <x v="7"/>
  </r>
  <r>
    <d v="2025-03-13T00:00:00"/>
    <s v="9989013086"/>
    <s v="HELLO STRANGER"/>
    <n v="1"/>
    <x v="13"/>
  </r>
  <r>
    <d v="2025-03-13T00:00:00"/>
    <s v="9989013086"/>
    <s v="HELLO STRANGER"/>
    <n v="1"/>
    <x v="14"/>
  </r>
  <r>
    <d v="2025-03-13T00:00:00"/>
    <s v="9989013086"/>
    <s v="HELLO STRANGER"/>
    <n v="2"/>
    <x v="28"/>
  </r>
  <r>
    <d v="2025-03-13T00:00:00"/>
    <s v="9989013087"/>
    <s v="THE MELT (80 GRAND)"/>
    <n v="4"/>
    <x v="8"/>
  </r>
  <r>
    <d v="2025-03-13T00:00:00"/>
    <s v="9989013087"/>
    <s v="THE MELT (80 GRAND)"/>
    <n v="1"/>
    <x v="15"/>
  </r>
  <r>
    <d v="2025-03-13T00:00:00"/>
    <s v="9989013087"/>
    <s v="THE MELT (80 GRAND)"/>
    <n v="2"/>
    <x v="10"/>
  </r>
  <r>
    <d v="2025-03-13T00:00:00"/>
    <s v="9989013087"/>
    <s v="THE MELT (80 GRAND)"/>
    <n v="1"/>
    <x v="12"/>
  </r>
  <r>
    <d v="2025-03-13T00:00:00"/>
    <s v="9989013087"/>
    <s v="THE MELT (80 GRAND)"/>
    <n v="2"/>
    <x v="9"/>
  </r>
  <r>
    <d v="2025-03-13T00:00:00"/>
    <s v="9989013087"/>
    <s v="THE MELT (80 GRAND)"/>
    <n v="3"/>
    <x v="5"/>
  </r>
  <r>
    <d v="2025-03-13T00:00:00"/>
    <s v="9989013088"/>
    <s v="BAYSIDE COFFEE SHOP"/>
    <n v="2"/>
    <x v="12"/>
  </r>
  <r>
    <d v="2025-03-13T00:00:00"/>
    <s v="9989013088"/>
    <s v="BAYSIDE COFFEE SHOP"/>
    <n v="2"/>
    <x v="8"/>
  </r>
  <r>
    <d v="2025-03-13T00:00:00"/>
    <s v="9989013088"/>
    <s v="BAYSIDE COFFEE SHOP"/>
    <n v="1"/>
    <x v="15"/>
  </r>
  <r>
    <d v="2025-03-13T00:00:00"/>
    <s v="9989013088"/>
    <s v="BAYSIDE COFFEE SHOP"/>
    <n v="1"/>
    <x v="9"/>
  </r>
  <r>
    <d v="2025-03-13T00:00:00"/>
    <s v="9989013089"/>
    <s v="THE MELT (IRVINE SPECTRUM)"/>
    <n v="2"/>
    <x v="16"/>
  </r>
  <r>
    <d v="2025-03-13T00:00:00"/>
    <s v="9989013089"/>
    <s v="THE MELT (IRVINE SPECTRUM)"/>
    <n v="3"/>
    <x v="8"/>
  </r>
  <r>
    <d v="2025-03-13T00:00:00"/>
    <s v="9989013089"/>
    <s v="THE MELT (IRVINE SPECTRUM)"/>
    <n v="4"/>
    <x v="15"/>
  </r>
  <r>
    <d v="2025-03-13T00:00:00"/>
    <s v="9989013089"/>
    <s v="THE MELT (IRVINE SPECTRUM)"/>
    <n v="3"/>
    <x v="12"/>
  </r>
  <r>
    <d v="2025-03-13T00:00:00"/>
    <s v="9989013089"/>
    <s v="THE MELT (IRVINE SPECTRUM)"/>
    <n v="2"/>
    <x v="9"/>
  </r>
  <r>
    <d v="2025-03-13T00:00:00"/>
    <s v="9989013089"/>
    <s v="THE MELT (IRVINE SPECTRUM)"/>
    <n v="2"/>
    <x v="5"/>
  </r>
  <r>
    <d v="2025-03-13T00:00:00"/>
    <s v="9989013090"/>
    <s v="MONROE"/>
    <n v="2"/>
    <x v="14"/>
  </r>
  <r>
    <d v="2025-03-13T00:00:00"/>
    <s v="9989013090"/>
    <s v="MONROE"/>
    <n v="2"/>
    <x v="28"/>
  </r>
  <r>
    <d v="2025-03-13T00:00:00"/>
    <s v="9989013090"/>
    <s v="MONROE"/>
    <n v="2"/>
    <x v="8"/>
  </r>
  <r>
    <d v="2025-03-13T00:00:00"/>
    <s v="9989013090"/>
    <s v="MONROE"/>
    <n v="1"/>
    <x v="12"/>
  </r>
  <r>
    <d v="2025-03-13T00:00:00"/>
    <s v="9989013091"/>
    <s v="THE MELT (925 MARKET)"/>
    <n v="1"/>
    <x v="11"/>
  </r>
  <r>
    <d v="2025-03-13T00:00:00"/>
    <s v="9989013091"/>
    <s v="THE MELT (925 MARKET)"/>
    <n v="1"/>
    <x v="1"/>
  </r>
  <r>
    <d v="2025-03-13T00:00:00"/>
    <s v="9989013091"/>
    <s v="THE MELT (925 MARKET)"/>
    <n v="1"/>
    <x v="3"/>
  </r>
  <r>
    <d v="2025-03-13T00:00:00"/>
    <s v="9989013091"/>
    <s v="THE MELT (925 MARKET)"/>
    <n v="1"/>
    <x v="4"/>
  </r>
  <r>
    <d v="2025-03-13T00:00:00"/>
    <s v="9989013091"/>
    <s v="THE MELT (925 MARKET)"/>
    <n v="1"/>
    <x v="0"/>
  </r>
  <r>
    <d v="2025-03-13T00:00:00"/>
    <s v="9989013091"/>
    <s v="THE MELT (925 MARKET)"/>
    <n v="1"/>
    <x v="2"/>
  </r>
  <r>
    <d v="2025-03-13T00:00:00"/>
    <s v="9989013092"/>
    <s v="DOMENICO'S"/>
    <n v="1"/>
    <x v="11"/>
  </r>
  <r>
    <d v="2025-03-13T00:00:00"/>
    <s v="9989013092"/>
    <s v="DOMENICO'S"/>
    <n v="1"/>
    <x v="1"/>
  </r>
  <r>
    <d v="2025-03-13T00:00:00"/>
    <s v="9989013092"/>
    <s v="DOMENICO'S"/>
    <n v="1"/>
    <x v="3"/>
  </r>
  <r>
    <d v="2025-03-13T00:00:00"/>
    <s v="9989013092"/>
    <s v="DOMENICO'S"/>
    <n v="1"/>
    <x v="4"/>
  </r>
  <r>
    <d v="2025-03-13T00:00:00"/>
    <s v="9989013092"/>
    <s v="DOMENICO'S"/>
    <n v="1"/>
    <x v="2"/>
  </r>
  <r>
    <d v="2025-03-13T00:00:00"/>
    <s v="9989013092"/>
    <s v="DOMENICO'S"/>
    <n v="1"/>
    <x v="0"/>
  </r>
  <r>
    <d v="2025-03-13T00:00:00"/>
    <s v="9989013093"/>
    <s v="BOHEMIAN CLUB"/>
    <n v="4"/>
    <x v="15"/>
  </r>
  <r>
    <d v="2025-03-13T00:00:00"/>
    <s v="9989013094"/>
    <s v="SCOMAS RESTAURANT"/>
    <n v="3"/>
    <x v="13"/>
  </r>
  <r>
    <d v="2025-03-13T00:00:00"/>
    <s v="9989013094"/>
    <s v="SCOMAS RESTAURANT"/>
    <n v="2"/>
    <x v="15"/>
  </r>
  <r>
    <d v="2025-03-13T00:00:00"/>
    <s v="9989013094"/>
    <s v="SCOMAS RESTAURANT"/>
    <n v="2"/>
    <x v="12"/>
  </r>
  <r>
    <d v="2025-03-13T00:00:00"/>
    <s v="9989013095"/>
    <s v="GRUMPY'S"/>
    <n v="1"/>
    <x v="10"/>
  </r>
  <r>
    <d v="2025-03-13T00:00:00"/>
    <s v="9989013097"/>
    <s v="PIE PUNKS"/>
    <n v="2"/>
    <x v="26"/>
  </r>
  <r>
    <d v="2025-03-13T00:00:00"/>
    <s v="9989013097"/>
    <s v="PIE PUNKS"/>
    <n v="1"/>
    <x v="13"/>
  </r>
  <r>
    <d v="2025-03-13T00:00:00"/>
    <s v="9989013098"/>
    <s v="ELKS LODGE FREMONT #2121"/>
    <n v="1"/>
    <x v="18"/>
  </r>
  <r>
    <d v="2025-03-13T00:00:00"/>
    <s v="9989013098"/>
    <s v="ELKS LODGE FREMONT #2121"/>
    <n v="1"/>
    <x v="14"/>
  </r>
  <r>
    <d v="2025-03-13T00:00:00"/>
    <s v="9989013098"/>
    <s v="ELKS LODGE FREMONT #2121"/>
    <n v="1"/>
    <x v="12"/>
  </r>
  <r>
    <d v="2025-03-13T00:00:00"/>
    <s v="9989013098"/>
    <s v="ELKS LODGE FREMONT #2121"/>
    <n v="1"/>
    <x v="15"/>
  </r>
  <r>
    <d v="2025-03-13T00:00:00"/>
    <s v="9989013099"/>
    <s v="RICK &amp; ROXY'S-DEL MAR"/>
    <n v="1"/>
    <x v="12"/>
  </r>
  <r>
    <d v="2025-03-13T00:00:00"/>
    <s v="9989013099"/>
    <s v="RICK &amp; ROXY'S-DEL MAR"/>
    <n v="1"/>
    <x v="37"/>
  </r>
  <r>
    <d v="2025-03-13T00:00:00"/>
    <s v="9989013100"/>
    <s v="THE MELT (GAS LAMP SAN DIEGO)"/>
    <n v="2"/>
    <x v="16"/>
  </r>
  <r>
    <d v="2025-03-13T00:00:00"/>
    <s v="9989013100"/>
    <s v="THE MELT (GAS LAMP SAN DIEGO)"/>
    <n v="1"/>
    <x v="8"/>
  </r>
  <r>
    <d v="2025-03-13T00:00:00"/>
    <s v="9989013100"/>
    <s v="THE MELT (GAS LAMP SAN DIEGO)"/>
    <n v="2"/>
    <x v="15"/>
  </r>
  <r>
    <d v="2025-03-13T00:00:00"/>
    <s v="9989013100"/>
    <s v="THE MELT (GAS LAMP SAN DIEGO)"/>
    <n v="2"/>
    <x v="12"/>
  </r>
  <r>
    <d v="2025-03-13T00:00:00"/>
    <s v="9989013100"/>
    <s v="THE MELT (GAS LAMP SAN DIEGO)"/>
    <n v="2"/>
    <x v="9"/>
  </r>
  <r>
    <d v="2025-03-13T00:00:00"/>
    <s v="9989013100"/>
    <s v="THE MELT (GAS LAMP SAN DIEGO)"/>
    <n v="2"/>
    <x v="5"/>
  </r>
  <r>
    <d v="2025-03-13T00:00:00"/>
    <s v="9989013100"/>
    <s v="THE MELT (GAS LAMP SAN DIEGO)"/>
    <n v="2"/>
    <x v="10"/>
  </r>
  <r>
    <d v="2025-03-13T00:00:00"/>
    <s v="9989013101"/>
    <s v="STARBIRD CHICKEN - SAN JOSE"/>
    <n v="1"/>
    <x v="8"/>
  </r>
  <r>
    <d v="2025-03-13T00:00:00"/>
    <s v="9989013101"/>
    <s v="STARBIRD CHICKEN - SAN JOSE"/>
    <n v="1"/>
    <x v="1"/>
  </r>
  <r>
    <d v="2025-03-13T00:00:00"/>
    <s v="9989013101"/>
    <s v="STARBIRD CHICKEN - SAN JOSE"/>
    <n v="1"/>
    <x v="11"/>
  </r>
  <r>
    <d v="2025-03-13T00:00:00"/>
    <s v="9989013101"/>
    <s v="STARBIRD CHICKEN - SAN JOSE"/>
    <n v="1"/>
    <x v="4"/>
  </r>
  <r>
    <d v="2025-03-13T00:00:00"/>
    <s v="9989013101"/>
    <s v="STARBIRD CHICKEN - SAN JOSE"/>
    <n v="1"/>
    <x v="3"/>
  </r>
  <r>
    <d v="2025-03-13T00:00:00"/>
    <s v="9989013102"/>
    <s v="STRAITS SANTANA ROW"/>
    <n v="1"/>
    <x v="8"/>
  </r>
  <r>
    <d v="2025-03-13T00:00:00"/>
    <s v="9989013102"/>
    <s v="STRAITS SANTANA ROW"/>
    <n v="1"/>
    <x v="12"/>
  </r>
  <r>
    <d v="2025-03-13T00:00:00"/>
    <s v="9989013102"/>
    <s v="STRAITS SANTANA ROW"/>
    <n v="1"/>
    <x v="28"/>
  </r>
  <r>
    <d v="2025-03-13T00:00:00"/>
    <s v="9989013102"/>
    <s v="STRAITS SANTANA ROW"/>
    <n v="1"/>
    <x v="10"/>
  </r>
  <r>
    <d v="2025-03-13T00:00:00"/>
    <s v="9989013103"/>
    <s v="TEMPLE BAR -SFO"/>
    <n v="1"/>
    <x v="15"/>
  </r>
  <r>
    <d v="2025-03-13T00:00:00"/>
    <s v="9989013103"/>
    <s v="TEMPLE BAR -SFO"/>
    <n v="1"/>
    <x v="8"/>
  </r>
  <r>
    <d v="2025-03-13T00:00:00"/>
    <s v="9989013103"/>
    <s v="TEMPLE BAR -SFO"/>
    <n v="1"/>
    <x v="19"/>
  </r>
  <r>
    <d v="2025-03-13T00:00:00"/>
    <s v="9989013104"/>
    <s v="THE MELT (LA JOLLA)"/>
    <n v="3"/>
    <x v="15"/>
  </r>
  <r>
    <d v="2025-03-13T00:00:00"/>
    <s v="9989013104"/>
    <s v="THE MELT (LA JOLLA)"/>
    <n v="2"/>
    <x v="8"/>
  </r>
  <r>
    <d v="2025-03-13T00:00:00"/>
    <s v="9989013104"/>
    <s v="THE MELT (LA JOLLA)"/>
    <n v="2"/>
    <x v="16"/>
  </r>
  <r>
    <d v="2025-03-13T00:00:00"/>
    <s v="9989013104"/>
    <s v="THE MELT (LA JOLLA)"/>
    <n v="2"/>
    <x v="10"/>
  </r>
  <r>
    <d v="2025-03-13T00:00:00"/>
    <s v="9989013104"/>
    <s v="THE MELT (LA JOLLA)"/>
    <n v="2"/>
    <x v="12"/>
  </r>
  <r>
    <d v="2025-03-13T00:00:00"/>
    <s v="9989013104"/>
    <s v="THE MELT (LA JOLLA)"/>
    <n v="1"/>
    <x v="9"/>
  </r>
  <r>
    <d v="2025-03-13T00:00:00"/>
    <s v="9989013104"/>
    <s v="THE MELT (LA JOLLA)"/>
    <n v="1"/>
    <x v="5"/>
  </r>
  <r>
    <d v="2025-03-13T00:00:00"/>
    <s v="9989013105"/>
    <s v="U BAR"/>
    <n v="2"/>
    <x v="12"/>
  </r>
  <r>
    <d v="2025-03-13T00:00:00"/>
    <s v="9989013105"/>
    <s v="U BAR"/>
    <n v="1"/>
    <x v="15"/>
  </r>
  <r>
    <d v="2025-03-13T00:00:00"/>
    <s v="9989013105"/>
    <s v="U BAR"/>
    <n v="1"/>
    <x v="8"/>
  </r>
  <r>
    <d v="2025-03-13T00:00:00"/>
    <s v="9989013105"/>
    <s v="U BAR"/>
    <n v="1"/>
    <x v="10"/>
  </r>
  <r>
    <d v="2025-03-13T00:00:00"/>
    <s v="9989013106"/>
    <s v="MY RADISH/BLOOM ENERGY"/>
    <n v="1"/>
    <x v="8"/>
  </r>
  <r>
    <d v="2025-03-14T00:00:00"/>
    <s v="9989013107"/>
    <s v="TRABOCCO"/>
    <n v="1"/>
    <x v="13"/>
  </r>
  <r>
    <d v="2025-03-14T00:00:00"/>
    <s v="9989013107"/>
    <s v="TRABOCCO"/>
    <n v="1"/>
    <x v="10"/>
  </r>
  <r>
    <d v="2025-03-14T00:00:00"/>
    <s v="9989013108"/>
    <s v="HOBNOB RESTAURANT"/>
    <n v="1"/>
    <x v="12"/>
  </r>
  <r>
    <d v="2025-03-14T00:00:00"/>
    <s v="9989013109"/>
    <s v="SCOLARIS ON PARK ST"/>
    <n v="5"/>
    <x v="4"/>
  </r>
  <r>
    <d v="2025-03-14T00:00:00"/>
    <s v="9989013109"/>
    <s v="SCOLARIS ON PARK ST"/>
    <n v="3"/>
    <x v="1"/>
  </r>
  <r>
    <d v="2025-03-14T00:00:00"/>
    <s v="9989013109"/>
    <s v="SCOLARIS ON PARK ST"/>
    <n v="3"/>
    <x v="11"/>
  </r>
  <r>
    <d v="2025-03-14T00:00:00"/>
    <s v="9989013109"/>
    <s v="SCOLARIS ON PARK ST"/>
    <n v="2"/>
    <x v="3"/>
  </r>
  <r>
    <d v="2025-03-14T00:00:00"/>
    <s v="9989013109"/>
    <s v="SCOLARIS ON PARK ST"/>
    <n v="2"/>
    <x v="2"/>
  </r>
  <r>
    <d v="2025-03-14T00:00:00"/>
    <s v="9989013110"/>
    <s v="SEAWOLF"/>
    <n v="1"/>
    <x v="15"/>
  </r>
  <r>
    <d v="2025-03-14T00:00:00"/>
    <s v="9989013110"/>
    <s v="SEAWOLF"/>
    <n v="1"/>
    <x v="10"/>
  </r>
  <r>
    <d v="2025-03-14T00:00:00"/>
    <s v="9989013111"/>
    <s v="MCGEES"/>
    <n v="1"/>
    <x v="8"/>
  </r>
  <r>
    <d v="2025-03-14T00:00:00"/>
    <s v="9989013111"/>
    <s v="MCGEES"/>
    <n v="1"/>
    <x v="12"/>
  </r>
  <r>
    <d v="2025-03-14T00:00:00"/>
    <s v="9989013112"/>
    <s v="BRONCO BILLY'S PIZZA PALACE FREMONT NILES"/>
    <n v="6"/>
    <x v="13"/>
  </r>
  <r>
    <d v="2025-03-14T00:00:00"/>
    <s v="9989013112"/>
    <s v="BRONCO BILLY'S PIZZA PALACE FREMONT NILES"/>
    <n v="3"/>
    <x v="26"/>
  </r>
  <r>
    <d v="2025-03-14T00:00:00"/>
    <s v="9989013112"/>
    <s v="BRONCO BILLY'S PIZZA PALACE FREMONT NILES"/>
    <n v="1"/>
    <x v="27"/>
  </r>
  <r>
    <d v="2025-03-14T00:00:00"/>
    <s v="9989013112"/>
    <s v="BRONCO BILLY'S PIZZA PALACE FREMONT NILES"/>
    <n v="6"/>
    <x v="5"/>
  </r>
  <r>
    <d v="2025-03-14T00:00:00"/>
    <s v="9989013112"/>
    <s v="BRONCO BILLY'S PIZZA PALACE FREMONT NILES"/>
    <n v="2"/>
    <x v="7"/>
  </r>
  <r>
    <d v="2025-03-14T00:00:00"/>
    <s v="9989013112"/>
    <s v="BRONCO BILLY'S PIZZA PALACE FREMONT NILES"/>
    <n v="1"/>
    <x v="17"/>
  </r>
  <r>
    <d v="2025-03-14T00:00:00"/>
    <s v="9989013112"/>
    <s v="BRONCO BILLY'S PIZZA PALACE FREMONT NILES"/>
    <n v="1"/>
    <x v="30"/>
  </r>
  <r>
    <d v="2025-03-14T00:00:00"/>
    <s v="9989013114"/>
    <s v="MASTER PRECISION MACHINING"/>
    <n v="1"/>
    <x v="14"/>
  </r>
  <r>
    <d v="2025-03-14T00:00:00"/>
    <s v="9989013114"/>
    <s v="MASTER PRECISION MACHINING"/>
    <n v="1"/>
    <x v="6"/>
  </r>
  <r>
    <d v="2025-03-14T00:00:00"/>
    <s v="9989013115"/>
    <s v="CRYBABY"/>
    <n v="1"/>
    <x v="14"/>
  </r>
  <r>
    <d v="2025-03-14T00:00:00"/>
    <s v="9989013116"/>
    <s v="BEERYLAND -(TELEGRAPH BEER GARDEN)"/>
    <n v="2"/>
    <x v="12"/>
  </r>
  <r>
    <d v="2025-03-14T00:00:00"/>
    <s v="9989013116"/>
    <s v="BEERYLAND -(TELEGRAPH BEER GARDEN)"/>
    <n v="2"/>
    <x v="8"/>
  </r>
  <r>
    <d v="2025-03-14T00:00:00"/>
    <s v="9989013116"/>
    <s v="BEERYLAND -(TELEGRAPH BEER GARDEN)"/>
    <n v="2"/>
    <x v="15"/>
  </r>
  <r>
    <d v="2025-03-14T00:00:00"/>
    <s v="9989013116"/>
    <s v="BEERYLAND -(TELEGRAPH BEER GARDEN)"/>
    <n v="3"/>
    <x v="10"/>
  </r>
  <r>
    <d v="2025-03-14T00:00:00"/>
    <s v="9989013117"/>
    <s v="HIDDEN SPOT"/>
    <n v="1"/>
    <x v="18"/>
  </r>
  <r>
    <d v="2025-03-14T00:00:00"/>
    <s v="9989013118"/>
    <s v="TOP DOG #3 LAK"/>
    <n v="1"/>
    <x v="26"/>
  </r>
  <r>
    <d v="2025-03-14T00:00:00"/>
    <s v="9989013118"/>
    <s v="TOP DOG #3 LAK"/>
    <n v="1"/>
    <x v="13"/>
  </r>
  <r>
    <d v="2025-03-14T00:00:00"/>
    <s v="9989013118"/>
    <s v="TOP DOG #3 LAK"/>
    <n v="2"/>
    <x v="5"/>
  </r>
  <r>
    <d v="2025-03-14T00:00:00"/>
    <s v="9989013118"/>
    <s v="TOP DOG #3 LAK"/>
    <n v="1"/>
    <x v="9"/>
  </r>
  <r>
    <d v="2025-03-14T00:00:00"/>
    <s v="9989013118"/>
    <s v="TOP DOG #3 LAK"/>
    <n v="1"/>
    <x v="29"/>
  </r>
  <r>
    <d v="2025-03-14T00:00:00"/>
    <s v="9989013119"/>
    <s v="STARBIRD CHICKEN - CORTE MADERA"/>
    <n v="2"/>
    <x v="12"/>
  </r>
  <r>
    <d v="2025-03-14T00:00:00"/>
    <s v="9989013119"/>
    <s v="STARBIRD CHICKEN - CORTE MADERA"/>
    <n v="2"/>
    <x v="15"/>
  </r>
  <r>
    <d v="2025-03-14T00:00:00"/>
    <s v="9989013119"/>
    <s v="STARBIRD CHICKEN - CORTE MADERA"/>
    <n v="1"/>
    <x v="5"/>
  </r>
  <r>
    <d v="2025-03-14T00:00:00"/>
    <s v="9989013119"/>
    <s v="STARBIRD CHICKEN - CORTE MADERA"/>
    <n v="1"/>
    <x v="23"/>
  </r>
  <r>
    <d v="2025-03-14T00:00:00"/>
    <s v="9989013119"/>
    <s v="STARBIRD CHICKEN - CORTE MADERA"/>
    <n v="2"/>
    <x v="1"/>
  </r>
  <r>
    <d v="2025-03-14T00:00:00"/>
    <s v="9989013119"/>
    <s v="STARBIRD CHICKEN - CORTE MADERA"/>
    <n v="1"/>
    <x v="11"/>
  </r>
  <r>
    <d v="2025-03-14T00:00:00"/>
    <s v="9989013119"/>
    <s v="STARBIRD CHICKEN - CORTE MADERA"/>
    <n v="1"/>
    <x v="4"/>
  </r>
  <r>
    <d v="2025-03-14T00:00:00"/>
    <s v="9989013121"/>
    <s v="THE JUNCTION"/>
    <n v="2"/>
    <x v="7"/>
  </r>
  <r>
    <d v="2025-03-14T00:00:00"/>
    <s v="9989013121"/>
    <s v="THE JUNCTION"/>
    <n v="1"/>
    <x v="24"/>
  </r>
  <r>
    <d v="2025-03-14T00:00:00"/>
    <s v="9989013122"/>
    <s v="THE LODGE"/>
    <n v="1"/>
    <x v="8"/>
  </r>
  <r>
    <d v="2025-03-14T00:00:00"/>
    <s v="9989013122"/>
    <s v="THE LODGE"/>
    <n v="1"/>
    <x v="18"/>
  </r>
  <r>
    <d v="2025-03-14T00:00:00"/>
    <s v="9989013122"/>
    <s v="THE LODGE"/>
    <n v="1"/>
    <x v="14"/>
  </r>
  <r>
    <d v="2025-03-14T00:00:00"/>
    <s v="9989013122"/>
    <s v="THE LODGE"/>
    <n v="2"/>
    <x v="10"/>
  </r>
  <r>
    <d v="2025-03-14T00:00:00"/>
    <s v="9989013123"/>
    <s v="LAS PALMAS"/>
    <n v="1"/>
    <x v="26"/>
  </r>
  <r>
    <d v="2025-03-14T00:00:00"/>
    <s v="9989013123"/>
    <s v="LAS PALMAS"/>
    <n v="1"/>
    <x v="13"/>
  </r>
  <r>
    <d v="2025-03-14T00:00:00"/>
    <s v="9989013123"/>
    <s v="LAS PALMAS"/>
    <n v="1"/>
    <x v="5"/>
  </r>
  <r>
    <d v="2025-03-14T00:00:00"/>
    <s v="9989013124"/>
    <s v="CORICA PARK"/>
    <n v="2"/>
    <x v="1"/>
  </r>
  <r>
    <d v="2025-03-14T00:00:00"/>
    <s v="9989013124"/>
    <s v="CORICA PARK"/>
    <n v="2"/>
    <x v="3"/>
  </r>
  <r>
    <d v="2025-03-14T00:00:00"/>
    <s v="9989013124"/>
    <s v="CORICA PARK"/>
    <n v="1"/>
    <x v="11"/>
  </r>
  <r>
    <d v="2025-03-14T00:00:00"/>
    <s v="9989013124"/>
    <s v="CORICA PARK"/>
    <n v="1"/>
    <x v="0"/>
  </r>
  <r>
    <d v="2025-03-14T00:00:00"/>
    <s v="9989013124"/>
    <s v="CORICA PARK"/>
    <n v="1"/>
    <x v="4"/>
  </r>
  <r>
    <d v="2025-03-14T00:00:00"/>
    <s v="9989013124"/>
    <s v="CORICA PARK"/>
    <n v="1"/>
    <x v="2"/>
  </r>
  <r>
    <d v="2025-03-14T00:00:00"/>
    <s v="9989013125"/>
    <s v="PROJECT BURGER"/>
    <n v="1"/>
    <x v="1"/>
  </r>
  <r>
    <d v="2025-03-14T00:00:00"/>
    <s v="9989013125"/>
    <s v="PROJECT BURGER"/>
    <n v="1"/>
    <x v="4"/>
  </r>
  <r>
    <d v="2025-03-14T00:00:00"/>
    <s v="9989013125"/>
    <s v="PROJECT BURGER"/>
    <n v="1"/>
    <x v="0"/>
  </r>
  <r>
    <d v="2025-03-14T00:00:00"/>
    <s v="9989013125"/>
    <s v="PROJECT BURGER"/>
    <n v="1"/>
    <x v="13"/>
  </r>
  <r>
    <d v="2025-03-14T00:00:00"/>
    <s v="9989013125"/>
    <s v="PROJECT BURGER"/>
    <n v="1"/>
    <x v="26"/>
  </r>
  <r>
    <d v="2025-03-14T00:00:00"/>
    <s v="9989013125"/>
    <s v="PROJECT BURGER"/>
    <n v="1"/>
    <x v="27"/>
  </r>
  <r>
    <d v="2025-03-14T00:00:00"/>
    <s v="9989013125"/>
    <s v="PROJECT BURGER"/>
    <n v="1"/>
    <x v="16"/>
  </r>
  <r>
    <d v="2025-03-14T00:00:00"/>
    <s v="9989013125"/>
    <s v="PROJECT BURGER"/>
    <n v="1"/>
    <x v="7"/>
  </r>
  <r>
    <d v="2025-03-14T00:00:00"/>
    <s v="9989013125"/>
    <s v="PROJECT BURGER"/>
    <n v="1"/>
    <x v="9"/>
  </r>
  <r>
    <d v="2025-03-14T00:00:00"/>
    <s v="9989013125"/>
    <s v="PROJECT BURGER"/>
    <n v="1"/>
    <x v="10"/>
  </r>
  <r>
    <d v="2025-03-14T00:00:00"/>
    <s v="9989013126"/>
    <s v="PARKWAY LOUNGE"/>
    <n v="1"/>
    <x v="10"/>
  </r>
  <r>
    <d v="2025-03-14T00:00:00"/>
    <s v="9989013126"/>
    <s v="PARKWAY LOUNGE"/>
    <n v="1"/>
    <x v="14"/>
  </r>
  <r>
    <d v="2025-03-14T00:00:00"/>
    <s v="9989013127"/>
    <s v="ELKS LODGE ALAMEDA"/>
    <n v="3"/>
    <x v="18"/>
  </r>
  <r>
    <d v="2025-03-14T00:00:00"/>
    <s v="9989013127"/>
    <s v="ELKS LODGE ALAMEDA"/>
    <n v="2"/>
    <x v="8"/>
  </r>
  <r>
    <d v="2025-03-14T00:00:00"/>
    <s v="9989013127"/>
    <s v="ELKS LODGE ALAMEDA"/>
    <n v="2"/>
    <x v="15"/>
  </r>
  <r>
    <d v="2025-03-14T00:00:00"/>
    <s v="9989013127"/>
    <s v="ELKS LODGE ALAMEDA"/>
    <n v="2"/>
    <x v="12"/>
  </r>
  <r>
    <d v="2025-03-14T00:00:00"/>
    <s v="9989013127"/>
    <s v="ELKS LODGE ALAMEDA"/>
    <n v="2"/>
    <x v="14"/>
  </r>
  <r>
    <d v="2025-03-14T00:00:00"/>
    <s v="9989013128"/>
    <s v="MEDITERRANEAN BAR"/>
    <n v="1"/>
    <x v="28"/>
  </r>
  <r>
    <d v="2025-03-14T00:00:00"/>
    <s v="9989013128"/>
    <s v="MEDITERRANEAN BAR"/>
    <n v="1"/>
    <x v="37"/>
  </r>
  <r>
    <d v="2025-03-14T00:00:00"/>
    <s v="9989013128"/>
    <s v="MEDITERRANEAN BAR"/>
    <n v="1"/>
    <x v="14"/>
  </r>
  <r>
    <d v="2025-03-14T00:00:00"/>
    <s v="9989013128"/>
    <s v="MEDITERRANEAN BAR"/>
    <n v="1"/>
    <x v="8"/>
  </r>
  <r>
    <d v="2025-03-14T00:00:00"/>
    <s v="9989013128"/>
    <s v="MEDITERRANEAN BAR"/>
    <n v="1"/>
    <x v="12"/>
  </r>
  <r>
    <d v="2025-03-14T00:00:00"/>
    <s v="9989013129"/>
    <s v="PIZZERIA PAPPO"/>
    <n v="2"/>
    <x v="3"/>
  </r>
  <r>
    <d v="2025-03-14T00:00:00"/>
    <s v="9989013129"/>
    <s v="PIZZERIA PAPPO"/>
    <n v="2"/>
    <x v="11"/>
  </r>
  <r>
    <d v="2025-03-14T00:00:00"/>
    <s v="9989013129"/>
    <s v="PIZZERIA PAPPO"/>
    <n v="2"/>
    <x v="5"/>
  </r>
  <r>
    <d v="2025-03-14T00:00:00"/>
    <s v="9989013129"/>
    <s v="PIZZERIA PAPPO"/>
    <n v="1"/>
    <x v="1"/>
  </r>
  <r>
    <d v="2025-03-14T00:00:00"/>
    <s v="9989013129"/>
    <s v="PIZZERIA PAPPO"/>
    <n v="1"/>
    <x v="2"/>
  </r>
  <r>
    <d v="2025-03-14T00:00:00"/>
    <s v="9989013130"/>
    <s v="THE JURY ROOM"/>
    <n v="1"/>
    <x v="14"/>
  </r>
  <r>
    <d v="2025-03-14T00:00:00"/>
    <s v="9989013130"/>
    <s v="THE JURY ROOM"/>
    <n v="1"/>
    <x v="12"/>
  </r>
  <r>
    <d v="2025-03-14T00:00:00"/>
    <s v="9989013130"/>
    <s v="THE JURY ROOM"/>
    <n v="1"/>
    <x v="19"/>
  </r>
  <r>
    <d v="2025-03-14T00:00:00"/>
    <s v="9989013131"/>
    <s v="GRAND LAKE THEATER"/>
    <n v="9"/>
    <x v="8"/>
  </r>
  <r>
    <d v="2025-03-14T00:00:00"/>
    <s v="9989013131"/>
    <s v="GRAND LAKE THEATER"/>
    <n v="4"/>
    <x v="15"/>
  </r>
  <r>
    <d v="2025-03-14T00:00:00"/>
    <s v="9989013131"/>
    <s v="GRAND LAKE THEATER"/>
    <n v="7"/>
    <x v="5"/>
  </r>
  <r>
    <d v="2025-03-14T00:00:00"/>
    <s v="9989013131"/>
    <s v="GRAND LAKE THEATER"/>
    <n v="3"/>
    <x v="12"/>
  </r>
  <r>
    <d v="2025-03-14T00:00:00"/>
    <s v="9989013131"/>
    <s v="GRAND LAKE THEATER"/>
    <n v="3"/>
    <x v="7"/>
  </r>
  <r>
    <d v="2025-03-14T00:00:00"/>
    <s v="9989013131"/>
    <s v="GRAND LAKE THEATER"/>
    <n v="6"/>
    <x v="10"/>
  </r>
  <r>
    <d v="2025-03-14T00:00:00"/>
    <s v="9989013132"/>
    <s v="PHILS FISH MARKET"/>
    <n v="1"/>
    <x v="13"/>
  </r>
  <r>
    <d v="2025-03-14T00:00:00"/>
    <s v="9989013132"/>
    <s v="PHILS FISH MARKET"/>
    <n v="2"/>
    <x v="26"/>
  </r>
  <r>
    <d v="2025-03-14T00:00:00"/>
    <s v="9989013132"/>
    <s v="PHILS FISH MARKET"/>
    <n v="3"/>
    <x v="5"/>
  </r>
  <r>
    <d v="2025-03-14T00:00:00"/>
    <s v="9989013132"/>
    <s v="PHILS FISH MARKET"/>
    <n v="4"/>
    <x v="7"/>
  </r>
  <r>
    <d v="2025-03-14T00:00:00"/>
    <s v="9989013132"/>
    <s v="PHILS FISH MARKET"/>
    <n v="1"/>
    <x v="9"/>
  </r>
  <r>
    <d v="2025-03-14T00:00:00"/>
    <s v="9989013132"/>
    <s v="PHILS FISH MARKET"/>
    <n v="1"/>
    <x v="19"/>
  </r>
  <r>
    <d v="2025-03-14T00:00:00"/>
    <s v="9989013132"/>
    <s v="PHILS FISH MARKET"/>
    <n v="3"/>
    <x v="13"/>
  </r>
  <r>
    <d v="2025-03-14T00:00:00"/>
    <s v="9989013132"/>
    <s v="PHILS FISH MARKET"/>
    <n v="1"/>
    <x v="26"/>
  </r>
  <r>
    <d v="2025-03-14T00:00:00"/>
    <s v="9989013133"/>
    <s v="FOX THEATER"/>
    <n v="2"/>
    <x v="8"/>
  </r>
  <r>
    <d v="2025-03-14T00:00:00"/>
    <s v="9989013133"/>
    <s v="FOX THEATER"/>
    <n v="1"/>
    <x v="12"/>
  </r>
  <r>
    <d v="2025-03-14T00:00:00"/>
    <s v="9989013133"/>
    <s v="FOX THEATER"/>
    <n v="1"/>
    <x v="28"/>
  </r>
  <r>
    <d v="2025-03-14T00:00:00"/>
    <s v="9989013133"/>
    <s v="FOX THEATER"/>
    <n v="1"/>
    <x v="22"/>
  </r>
  <r>
    <d v="2025-03-14T00:00:00"/>
    <s v="9989013133"/>
    <s v="FOX THEATER"/>
    <n v="1"/>
    <x v="21"/>
  </r>
  <r>
    <d v="2025-03-14T00:00:00"/>
    <s v="9989013133"/>
    <s v="FOX THEATER"/>
    <n v="1"/>
    <x v="14"/>
  </r>
  <r>
    <d v="2025-03-14T00:00:00"/>
    <s v="9989013133"/>
    <s v="FOX THEATER"/>
    <n v="1"/>
    <x v="22"/>
  </r>
  <r>
    <d v="2025-03-16T00:00:00"/>
    <s v="9989013134"/>
    <s v="UCSF MEDICAL CENTER MT. ZION"/>
    <n v="1"/>
    <x v="33"/>
  </r>
  <r>
    <d v="2025-03-16T00:00:00"/>
    <s v="9989013135"/>
    <s v="PROJECT BURGER"/>
    <n v="1"/>
    <x v="5"/>
  </r>
  <r>
    <d v="2025-03-17T00:00:00"/>
    <s v="9989013136"/>
    <s v="U BAR"/>
    <n v="2"/>
    <x v="18"/>
  </r>
  <r>
    <d v="2025-03-17T00:00:00"/>
    <s v="9989013136"/>
    <s v="U BAR"/>
    <n v="1"/>
    <x v="21"/>
  </r>
  <r>
    <d v="2025-03-17T00:00:00"/>
    <s v="9989013136"/>
    <s v="U BAR"/>
    <n v="1"/>
    <x v="12"/>
  </r>
  <r>
    <d v="2025-03-17T00:00:00"/>
    <s v="9989013136"/>
    <s v="U BAR"/>
    <n v="2"/>
    <x v="10"/>
  </r>
  <r>
    <d v="2025-03-17T00:00:00"/>
    <s v="9989013136"/>
    <s v="U BAR"/>
    <n v="1"/>
    <x v="18"/>
  </r>
  <r>
    <d v="2025-03-17T00:00:00"/>
    <s v="9989013137"/>
    <s v="VICTORY HALL-LITTLE SKILLET"/>
    <n v="1"/>
    <x v="15"/>
  </r>
  <r>
    <d v="2025-03-17T00:00:00"/>
    <s v="9989013137"/>
    <s v="VICTORY HALL-LITTLE SKILLET"/>
    <n v="1"/>
    <x v="8"/>
  </r>
  <r>
    <d v="2025-03-17T00:00:00"/>
    <s v="9989013137"/>
    <s v="VICTORY HALL-LITTLE SKILLET"/>
    <n v="1"/>
    <x v="12"/>
  </r>
  <r>
    <d v="2025-03-17T00:00:00"/>
    <s v="9989013137"/>
    <s v="VICTORY HALL-LITTLE SKILLET"/>
    <n v="1"/>
    <x v="10"/>
  </r>
  <r>
    <d v="2025-03-18T00:00:00"/>
    <s v="9989013138"/>
    <s v="THE STAR ON PARK"/>
    <n v="1"/>
    <x v="8"/>
  </r>
  <r>
    <d v="2025-03-18T00:00:00"/>
    <s v="9989013138"/>
    <s v="THE STAR ON PARK"/>
    <n v="1"/>
    <x v="12"/>
  </r>
  <r>
    <d v="2025-03-18T00:00:00"/>
    <s v="9989013139"/>
    <s v="ENCINAL MARKET"/>
    <n v="1"/>
    <x v="2"/>
  </r>
  <r>
    <d v="2025-03-18T00:00:00"/>
    <s v="9989013139"/>
    <s v="ENCINAL MARKET"/>
    <n v="1"/>
    <x v="3"/>
  </r>
  <r>
    <d v="2025-03-18T00:00:00"/>
    <s v="9989013139"/>
    <s v="ENCINAL MARKET"/>
    <n v="1"/>
    <x v="4"/>
  </r>
  <r>
    <d v="2025-03-18T00:00:00"/>
    <s v="9989013139"/>
    <s v="ENCINAL MARKET"/>
    <n v="1"/>
    <x v="1"/>
  </r>
  <r>
    <d v="2025-03-18T00:00:00"/>
    <s v="9989013139"/>
    <s v="ENCINAL MARKET"/>
    <n v="1"/>
    <x v="11"/>
  </r>
  <r>
    <d v="2025-03-18T00:00:00"/>
    <s v="9989013139"/>
    <s v="ENCINAL MARKET"/>
    <n v="1"/>
    <x v="0"/>
  </r>
  <r>
    <d v="2025-03-18T00:00:00"/>
    <s v="9989013140"/>
    <s v="DRAKES DEALERSHIP"/>
    <n v="2"/>
    <x v="13"/>
  </r>
  <r>
    <d v="2025-03-18T00:00:00"/>
    <s v="9989013140"/>
    <s v="DRAKES DEALERSHIP"/>
    <n v="1"/>
    <x v="10"/>
  </r>
  <r>
    <d v="2025-03-18T00:00:00"/>
    <s v="9989013141"/>
    <s v="BON APPETIT - OPEN AI"/>
    <n v="3"/>
    <x v="15"/>
  </r>
  <r>
    <d v="2025-03-18T00:00:00"/>
    <s v="9989013141"/>
    <s v="BON APPETIT - OPEN AI"/>
    <n v="3"/>
    <x v="8"/>
  </r>
  <r>
    <d v="2025-03-18T00:00:00"/>
    <s v="9989013141"/>
    <s v="BON APPETIT - OPEN AI"/>
    <n v="3"/>
    <x v="12"/>
  </r>
  <r>
    <d v="2025-03-18T00:00:00"/>
    <s v="9989013141"/>
    <s v="BON APPETIT - OPEN AI"/>
    <n v="4"/>
    <x v="6"/>
  </r>
  <r>
    <d v="2025-03-18T00:00:00"/>
    <s v="9989013143"/>
    <s v="THE LAUNDROMAT"/>
    <n v="2"/>
    <x v="5"/>
  </r>
  <r>
    <d v="2025-03-18T00:00:00"/>
    <s v="9989013143"/>
    <s v="THE LAUNDROMAT"/>
    <n v="1"/>
    <x v="8"/>
  </r>
  <r>
    <d v="2025-03-18T00:00:00"/>
    <s v="9989013143"/>
    <s v="THE LAUNDROMAT"/>
    <n v="1"/>
    <x v="15"/>
  </r>
  <r>
    <d v="2025-03-18T00:00:00"/>
    <s v="9989013143"/>
    <s v="THE LAUNDROMAT"/>
    <n v="1"/>
    <x v="12"/>
  </r>
  <r>
    <d v="2025-03-18T00:00:00"/>
    <s v="9989013144"/>
    <s v="PICANTE"/>
    <n v="2"/>
    <x v="7"/>
  </r>
  <r>
    <d v="2025-03-18T00:00:00"/>
    <s v="9989013144"/>
    <s v="PICANTE"/>
    <n v="1"/>
    <x v="8"/>
  </r>
  <r>
    <d v="2025-03-18T00:00:00"/>
    <s v="9989013144"/>
    <s v="PICANTE"/>
    <n v="1"/>
    <x v="12"/>
  </r>
  <r>
    <d v="2025-03-18T00:00:00"/>
    <s v="9989013144"/>
    <s v="PICANTE"/>
    <n v="1"/>
    <x v="5"/>
  </r>
  <r>
    <d v="2025-03-18T00:00:00"/>
    <s v="9989013145"/>
    <s v="BELLA TRATTORIA"/>
    <n v="2"/>
    <x v="8"/>
  </r>
  <r>
    <d v="2025-03-18T00:00:00"/>
    <s v="9989013145"/>
    <s v="BELLA TRATTORIA"/>
    <n v="1"/>
    <x v="12"/>
  </r>
  <r>
    <d v="2025-03-18T00:00:00"/>
    <s v="9989013146"/>
    <s v="HOMEROOM - BERKELEY"/>
    <n v="2"/>
    <x v="8"/>
  </r>
  <r>
    <d v="2025-03-18T00:00:00"/>
    <s v="9989013146"/>
    <s v="HOMEROOM - BERKELEY"/>
    <n v="1"/>
    <x v="12"/>
  </r>
  <r>
    <d v="2025-03-18T00:00:00"/>
    <s v="9989013146"/>
    <s v="HOMEROOM - BERKELEY"/>
    <n v="1"/>
    <x v="19"/>
  </r>
  <r>
    <d v="2025-03-18T00:00:00"/>
    <s v="9989013147"/>
    <s v="POINT SAN PABLO YACHT CLUB"/>
    <n v="1"/>
    <x v="15"/>
  </r>
  <r>
    <d v="2025-03-18T00:00:00"/>
    <s v="9989013147"/>
    <s v="POINT SAN PABLO YACHT CLUB"/>
    <n v="1"/>
    <x v="12"/>
  </r>
  <r>
    <d v="2025-03-18T00:00:00"/>
    <s v="9989013147"/>
    <s v="POINT SAN PABLO YACHT CLUB"/>
    <n v="1"/>
    <x v="14"/>
  </r>
  <r>
    <d v="2025-03-18T00:00:00"/>
    <s v="9989013148"/>
    <s v="THE COMET"/>
    <n v="1"/>
    <x v="15"/>
  </r>
  <r>
    <d v="2025-03-18T00:00:00"/>
    <s v="9989013148"/>
    <s v="THE COMET"/>
    <n v="1"/>
    <x v="12"/>
  </r>
  <r>
    <d v="2025-03-18T00:00:00"/>
    <s v="9989013149"/>
    <s v="MISSOURI LOUNGE &amp; CAFE"/>
    <n v="1"/>
    <x v="18"/>
  </r>
  <r>
    <d v="2025-03-18T00:00:00"/>
    <s v="9989013149"/>
    <s v="MISSOURI LOUNGE &amp; CAFE"/>
    <n v="1"/>
    <x v="12"/>
  </r>
  <r>
    <d v="2025-03-18T00:00:00"/>
    <s v="9989013149"/>
    <s v="MISSOURI LOUNGE &amp; CAFE"/>
    <n v="2"/>
    <x v="10"/>
  </r>
  <r>
    <d v="2025-03-18T00:00:00"/>
    <s v="9989013150"/>
    <s v="WILLKOMMEN"/>
    <n v="1"/>
    <x v="15"/>
  </r>
  <r>
    <d v="2025-03-18T00:00:00"/>
    <s v="9989013150"/>
    <s v="WILLKOMMEN"/>
    <n v="1"/>
    <x v="8"/>
  </r>
  <r>
    <d v="2025-03-18T00:00:00"/>
    <s v="9989013150"/>
    <s v="WILLKOMMEN"/>
    <n v="1"/>
    <x v="12"/>
  </r>
  <r>
    <d v="2025-03-18T00:00:00"/>
    <s v="9989013150"/>
    <s v="WILLKOMMEN"/>
    <n v="1"/>
    <x v="10"/>
  </r>
  <r>
    <d v="2025-03-18T00:00:00"/>
    <s v="9989013152"/>
    <s v="THE MELT (7TH @ FIG)"/>
    <n v="1"/>
    <x v="16"/>
  </r>
  <r>
    <d v="2025-03-18T00:00:00"/>
    <s v="9989013152"/>
    <s v="THE MELT (7TH @ FIG)"/>
    <n v="1"/>
    <x v="8"/>
  </r>
  <r>
    <d v="2025-03-18T00:00:00"/>
    <s v="9989013152"/>
    <s v="THE MELT (7TH @ FIG)"/>
    <n v="1"/>
    <x v="12"/>
  </r>
  <r>
    <d v="2025-03-18T00:00:00"/>
    <s v="9989013152"/>
    <s v="THE MELT (7TH @ FIG)"/>
    <n v="1"/>
    <x v="9"/>
  </r>
  <r>
    <d v="2025-03-18T00:00:00"/>
    <s v="9989013153"/>
    <s v="LARAS FINE DINING"/>
    <n v="3"/>
    <x v="8"/>
  </r>
  <r>
    <d v="2025-03-18T00:00:00"/>
    <s v="9989013153"/>
    <s v="LARAS FINE DINING"/>
    <n v="1"/>
    <x v="12"/>
  </r>
  <r>
    <d v="2025-03-18T00:00:00"/>
    <s v="9989013153"/>
    <s v="LARAS FINE DINING"/>
    <n v="1"/>
    <x v="7"/>
  </r>
  <r>
    <d v="2025-03-18T00:00:00"/>
    <s v="9989013154"/>
    <s v="THE DEAD FISH"/>
    <n v="1"/>
    <x v="13"/>
  </r>
  <r>
    <d v="2025-03-18T00:00:00"/>
    <s v="9989013154"/>
    <s v="THE DEAD FISH"/>
    <n v="1"/>
    <x v="27"/>
  </r>
  <r>
    <d v="2025-03-18T00:00:00"/>
    <s v="9989013154"/>
    <s v="THE DEAD FISH"/>
    <n v="1"/>
    <x v="24"/>
  </r>
  <r>
    <d v="2025-03-18T00:00:00"/>
    <s v="9989013154"/>
    <s v="THE DEAD FISH"/>
    <n v="1"/>
    <x v="7"/>
  </r>
  <r>
    <d v="2025-03-18T00:00:00"/>
    <s v="9989013155"/>
    <s v="THE AVENUE"/>
    <n v="1"/>
    <x v="15"/>
  </r>
  <r>
    <d v="2025-03-18T00:00:00"/>
    <s v="9989013155"/>
    <s v="THE AVENUE"/>
    <n v="1"/>
    <x v="19"/>
  </r>
  <r>
    <d v="2025-03-18T00:00:00"/>
    <s v="9989013155"/>
    <s v="THE AVENUE"/>
    <n v="1"/>
    <x v="12"/>
  </r>
  <r>
    <d v="2025-03-18T00:00:00"/>
    <s v="9989013156"/>
    <s v="CLUB MALIBU"/>
    <n v="1"/>
    <x v="21"/>
  </r>
  <r>
    <d v="2025-03-18T00:00:00"/>
    <s v="9989013156"/>
    <s v="CLUB MALIBU"/>
    <n v="1"/>
    <x v="28"/>
  </r>
  <r>
    <d v="2025-03-18T00:00:00"/>
    <s v="9989013156"/>
    <s v="CLUB MALIBU"/>
    <n v="1"/>
    <x v="14"/>
  </r>
  <r>
    <d v="2025-03-18T00:00:00"/>
    <s v="9989013156"/>
    <s v="CLUB MALIBU"/>
    <n v="1"/>
    <x v="8"/>
  </r>
  <r>
    <d v="2025-03-18T00:00:00"/>
    <s v="9989013157"/>
    <s v="STARBIRD CHICKEN - HERMOSA BEACH"/>
    <n v="2"/>
    <x v="8"/>
  </r>
  <r>
    <d v="2025-03-18T00:00:00"/>
    <s v="9989013157"/>
    <s v="STARBIRD CHICKEN - HERMOSA BEACH"/>
    <n v="1"/>
    <x v="5"/>
  </r>
  <r>
    <d v="2025-03-18T00:00:00"/>
    <s v="9989013157"/>
    <s v="STARBIRD CHICKEN - HERMOSA BEACH"/>
    <n v="1"/>
    <x v="10"/>
  </r>
  <r>
    <d v="2025-03-18T00:00:00"/>
    <s v="9989013157"/>
    <s v="STARBIRD CHICKEN - HERMOSA BEACH"/>
    <n v="1"/>
    <x v="4"/>
  </r>
  <r>
    <d v="2025-03-18T00:00:00"/>
    <s v="9989013157"/>
    <s v="STARBIRD CHICKEN - HERMOSA BEACH"/>
    <n v="1"/>
    <x v="1"/>
  </r>
  <r>
    <d v="2025-03-18T00:00:00"/>
    <s v="9989013158"/>
    <s v="WOLFHOUND"/>
    <n v="1"/>
    <x v="8"/>
  </r>
  <r>
    <d v="2025-03-18T00:00:00"/>
    <s v="9989013158"/>
    <s v="WOLFHOUND"/>
    <n v="1"/>
    <x v="12"/>
  </r>
  <r>
    <d v="2025-03-18T00:00:00"/>
    <s v="9989013159"/>
    <s v="SIDESTREET PHO"/>
    <n v="1"/>
    <x v="8"/>
  </r>
  <r>
    <d v="2025-03-18T00:00:00"/>
    <s v="9989013159"/>
    <s v="SIDESTREET PHO"/>
    <n v="1"/>
    <x v="29"/>
  </r>
  <r>
    <d v="2025-03-18T00:00:00"/>
    <s v="9989013161"/>
    <s v="STARBIRD CHICKEN - MARINA DEL REY"/>
    <n v="3"/>
    <x v="5"/>
  </r>
  <r>
    <d v="2025-03-18T00:00:00"/>
    <s v="9989013161"/>
    <s v="STARBIRD CHICKEN - MARINA DEL REY"/>
    <n v="1"/>
    <x v="8"/>
  </r>
  <r>
    <d v="2025-03-18T00:00:00"/>
    <s v="9989013161"/>
    <s v="STARBIRD CHICKEN - MARINA DEL REY"/>
    <n v="1"/>
    <x v="15"/>
  </r>
  <r>
    <d v="2025-03-18T00:00:00"/>
    <s v="9989013161"/>
    <s v="STARBIRD CHICKEN - MARINA DEL REY"/>
    <n v="1"/>
    <x v="17"/>
  </r>
  <r>
    <d v="2025-03-18T00:00:00"/>
    <s v="9989013161"/>
    <s v="STARBIRD CHICKEN - MARINA DEL REY"/>
    <n v="2"/>
    <x v="10"/>
  </r>
  <r>
    <d v="2025-03-18T00:00:00"/>
    <s v="9989013161"/>
    <s v="STARBIRD CHICKEN - MARINA DEL REY"/>
    <n v="1"/>
    <x v="11"/>
  </r>
  <r>
    <d v="2025-03-18T00:00:00"/>
    <s v="9989013161"/>
    <s v="STARBIRD CHICKEN - MARINA DEL REY"/>
    <n v="1"/>
    <x v="1"/>
  </r>
  <r>
    <d v="2025-03-18T00:00:00"/>
    <s v="9989013161"/>
    <s v="STARBIRD CHICKEN - MARINA DEL REY"/>
    <n v="1"/>
    <x v="3"/>
  </r>
  <r>
    <d v="2025-03-18T00:00:00"/>
    <s v="9989013161"/>
    <s v="STARBIRD CHICKEN - MARINA DEL REY"/>
    <n v="1"/>
    <x v="4"/>
  </r>
  <r>
    <d v="2025-03-18T00:00:00"/>
    <s v="9989013162"/>
    <s v="LITTLE STAR SOLANO"/>
    <n v="1"/>
    <x v="8"/>
  </r>
  <r>
    <d v="2025-03-18T00:00:00"/>
    <s v="9989013162"/>
    <s v="LITTLE STAR SOLANO"/>
    <n v="1"/>
    <x v="12"/>
  </r>
  <r>
    <d v="2025-03-18T00:00:00"/>
    <s v="9989013162"/>
    <s v="LITTLE STAR SOLANO"/>
    <n v="1"/>
    <x v="18"/>
  </r>
  <r>
    <d v="2025-03-19T00:00:00"/>
    <s v="9989013163"/>
    <s v="BEST WESTERN EL RANCHO INN"/>
    <n v="2"/>
    <x v="21"/>
  </r>
  <r>
    <d v="2025-03-19T00:00:00"/>
    <s v="9989013163"/>
    <s v="BEST WESTERN EL RANCHO INN"/>
    <n v="2"/>
    <x v="25"/>
  </r>
  <r>
    <d v="2025-03-19T00:00:00"/>
    <s v="9989013163"/>
    <s v="BEST WESTERN EL RANCHO INN"/>
    <n v="1"/>
    <x v="14"/>
  </r>
  <r>
    <d v="2025-03-19T00:00:00"/>
    <s v="9989013164"/>
    <s v="STARBIRD CHICKEN - FAIRFAX"/>
    <n v="1"/>
    <x v="8"/>
  </r>
  <r>
    <d v="2025-03-19T00:00:00"/>
    <s v="9989013164"/>
    <s v="STARBIRD CHICKEN - FAIRFAX"/>
    <n v="1"/>
    <x v="15"/>
  </r>
  <r>
    <d v="2025-03-19T00:00:00"/>
    <s v="9989013164"/>
    <s v="STARBIRD CHICKEN - FAIRFAX"/>
    <n v="1"/>
    <x v="5"/>
  </r>
  <r>
    <d v="2025-03-19T00:00:00"/>
    <s v="9989013164"/>
    <s v="STARBIRD CHICKEN - FAIRFAX"/>
    <n v="1"/>
    <x v="10"/>
  </r>
  <r>
    <d v="2025-03-19T00:00:00"/>
    <s v="9989013164"/>
    <s v="STARBIRD CHICKEN - FAIRFAX"/>
    <n v="1"/>
    <x v="11"/>
  </r>
  <r>
    <d v="2025-03-19T00:00:00"/>
    <s v="9989013164"/>
    <s v="STARBIRD CHICKEN - FAIRFAX"/>
    <n v="1"/>
    <x v="1"/>
  </r>
  <r>
    <d v="2025-03-19T00:00:00"/>
    <s v="9989013164"/>
    <s v="STARBIRD CHICKEN - FAIRFAX"/>
    <n v="2"/>
    <x v="4"/>
  </r>
  <r>
    <d v="2025-03-19T00:00:00"/>
    <s v="9989013164"/>
    <s v="STARBIRD CHICKEN - FAIRFAX"/>
    <n v="2"/>
    <x v="3"/>
  </r>
  <r>
    <d v="2025-03-19T00:00:00"/>
    <s v="9989013165"/>
    <s v="THE MELT (WEST HOLLYWOOD)"/>
    <n v="1"/>
    <x v="16"/>
  </r>
  <r>
    <d v="2025-03-19T00:00:00"/>
    <s v="9989013165"/>
    <s v="THE MELT (WEST HOLLYWOOD)"/>
    <n v="1"/>
    <x v="8"/>
  </r>
  <r>
    <d v="2025-03-19T00:00:00"/>
    <s v="9989013165"/>
    <s v="THE MELT (WEST HOLLYWOOD)"/>
    <n v="1"/>
    <x v="12"/>
  </r>
  <r>
    <d v="2025-03-19T00:00:00"/>
    <s v="9989013165"/>
    <s v="THE MELT (WEST HOLLYWOOD)"/>
    <n v="1"/>
    <x v="9"/>
  </r>
  <r>
    <d v="2025-03-19T00:00:00"/>
    <s v="9989013165"/>
    <s v="THE MELT (WEST HOLLYWOOD)"/>
    <n v="1"/>
    <x v="5"/>
  </r>
  <r>
    <d v="2025-03-19T00:00:00"/>
    <s v="9989013165"/>
    <s v="THE MELT (WEST HOLLYWOOD)"/>
    <n v="1"/>
    <x v="10"/>
  </r>
  <r>
    <d v="2025-03-19T00:00:00"/>
    <s v="9989013166"/>
    <s v="EL GRANDA BEVERAGE STORE"/>
    <n v="1"/>
    <x v="8"/>
  </r>
  <r>
    <d v="2025-03-19T00:00:00"/>
    <s v="9989013166"/>
    <s v="EL GRANDA BEVERAGE STORE"/>
    <n v="1"/>
    <x v="15"/>
  </r>
  <r>
    <d v="2025-03-19T00:00:00"/>
    <s v="9989013166"/>
    <s v="EL GRANDA BEVERAGE STORE"/>
    <n v="1"/>
    <x v="12"/>
  </r>
  <r>
    <d v="2025-03-19T00:00:00"/>
    <s v="9989013166"/>
    <s v="EL GRANDA BEVERAGE STORE"/>
    <n v="1"/>
    <x v="30"/>
  </r>
  <r>
    <d v="2025-03-19T00:00:00"/>
    <s v="9989013166"/>
    <s v="EL GRANDA BEVERAGE STORE"/>
    <n v="1"/>
    <x v="5"/>
  </r>
  <r>
    <d v="2025-03-19T00:00:00"/>
    <s v="9989013166"/>
    <s v="EL GRANDA BEVERAGE STORE"/>
    <n v="1"/>
    <x v="9"/>
  </r>
  <r>
    <d v="2025-03-19T00:00:00"/>
    <s v="9989013166"/>
    <s v="EL GRANDA BEVERAGE STORE"/>
    <n v="1"/>
    <x v="29"/>
  </r>
  <r>
    <d v="2025-03-19T00:00:00"/>
    <s v="9989013166"/>
    <s v="EL GRANDA BEVERAGE STORE"/>
    <n v="1"/>
    <x v="16"/>
  </r>
  <r>
    <d v="2025-03-19T00:00:00"/>
    <s v="9989013167"/>
    <s v="DIABLO FOODS"/>
    <n v="1"/>
    <x v="0"/>
  </r>
  <r>
    <d v="2025-03-19T00:00:00"/>
    <s v="9989013167"/>
    <s v="DIABLO FOODS"/>
    <n v="1"/>
    <x v="4"/>
  </r>
  <r>
    <d v="2025-03-19T00:00:00"/>
    <s v="9989013167"/>
    <s v="DIABLO FOODS"/>
    <n v="1"/>
    <x v="1"/>
  </r>
  <r>
    <d v="2025-03-19T00:00:00"/>
    <s v="9989013167"/>
    <s v="DIABLO FOODS"/>
    <n v="1"/>
    <x v="2"/>
  </r>
  <r>
    <d v="2025-03-19T00:00:00"/>
    <s v="9989013168"/>
    <s v="CANYON CLUB BREWERY"/>
    <n v="1"/>
    <x v="8"/>
  </r>
  <r>
    <d v="2025-03-19T00:00:00"/>
    <s v="9989013168"/>
    <s v="CANYON CLUB BREWERY"/>
    <n v="1"/>
    <x v="15"/>
  </r>
  <r>
    <d v="2025-03-19T00:00:00"/>
    <s v="9989013168"/>
    <s v="CANYON CLUB BREWERY"/>
    <n v="2"/>
    <x v="7"/>
  </r>
  <r>
    <d v="2025-03-19T00:00:00"/>
    <s v="9989013169"/>
    <s v="STARBIRD CHICKEN - FOSTER CITY"/>
    <n v="1"/>
    <x v="8"/>
  </r>
  <r>
    <d v="2025-03-19T00:00:00"/>
    <s v="9989013169"/>
    <s v="STARBIRD CHICKEN - FOSTER CITY"/>
    <n v="2"/>
    <x v="15"/>
  </r>
  <r>
    <d v="2025-03-19T00:00:00"/>
    <s v="9989013169"/>
    <s v="STARBIRD CHICKEN - FOSTER CITY"/>
    <n v="1"/>
    <x v="12"/>
  </r>
  <r>
    <d v="2025-03-19T00:00:00"/>
    <s v="9989013169"/>
    <s v="STARBIRD CHICKEN - FOSTER CITY"/>
    <n v="1"/>
    <x v="5"/>
  </r>
  <r>
    <d v="2025-03-19T00:00:00"/>
    <s v="9989013169"/>
    <s v="STARBIRD CHICKEN - FOSTER CITY"/>
    <n v="1"/>
    <x v="17"/>
  </r>
  <r>
    <d v="2025-03-19T00:00:00"/>
    <s v="9989013169"/>
    <s v="STARBIRD CHICKEN - FOSTER CITY"/>
    <n v="1"/>
    <x v="11"/>
  </r>
  <r>
    <d v="2025-03-19T00:00:00"/>
    <s v="9989013169"/>
    <s v="STARBIRD CHICKEN - FOSTER CITY"/>
    <n v="1"/>
    <x v="1"/>
  </r>
  <r>
    <d v="2025-03-19T00:00:00"/>
    <s v="9989013169"/>
    <s v="STARBIRD CHICKEN - FOSTER CITY"/>
    <n v="1"/>
    <x v="4"/>
  </r>
  <r>
    <d v="2025-03-19T00:00:00"/>
    <s v="9989013170"/>
    <s v="HEADLANDS BREWING - WALNUT CREEK"/>
    <n v="1"/>
    <x v="15"/>
  </r>
  <r>
    <d v="2025-03-19T00:00:00"/>
    <s v="9989013170"/>
    <s v="HEADLANDS BREWING - WALNUT CREEK"/>
    <n v="1"/>
    <x v="8"/>
  </r>
  <r>
    <d v="2025-03-19T00:00:00"/>
    <s v="9989013170"/>
    <s v="HEADLANDS BREWING - WALNUT CREEK"/>
    <n v="1"/>
    <x v="5"/>
  </r>
  <r>
    <d v="2025-03-19T00:00:00"/>
    <s v="9989013170"/>
    <s v="HEADLANDS BREWING - WALNUT CREEK"/>
    <n v="1"/>
    <x v="19"/>
  </r>
  <r>
    <d v="2025-03-19T00:00:00"/>
    <s v="9989013170"/>
    <s v="HEADLANDS BREWING - WALNUT CREEK"/>
    <n v="1"/>
    <x v="24"/>
  </r>
  <r>
    <d v="2025-03-19T00:00:00"/>
    <s v="9989013171"/>
    <s v="STATE OF MIND PUBLIC HOUSE REDWOOD CITY"/>
    <n v="1"/>
    <x v="7"/>
  </r>
  <r>
    <d v="2025-03-19T00:00:00"/>
    <s v="9989013171"/>
    <s v="STATE OF MIND PUBLIC HOUSE REDWOOD CITY"/>
    <n v="1"/>
    <x v="8"/>
  </r>
  <r>
    <d v="2025-03-19T00:00:00"/>
    <s v="9989013172"/>
    <s v="STARBIRD CHICKEN - WALNUT CREEK"/>
    <n v="2"/>
    <x v="8"/>
  </r>
  <r>
    <d v="2025-03-19T00:00:00"/>
    <s v="9989013172"/>
    <s v="STARBIRD CHICKEN - WALNUT CREEK"/>
    <n v="2"/>
    <x v="15"/>
  </r>
  <r>
    <d v="2025-03-19T00:00:00"/>
    <s v="9989013172"/>
    <s v="STARBIRD CHICKEN - WALNUT CREEK"/>
    <n v="1"/>
    <x v="12"/>
  </r>
  <r>
    <d v="2025-03-19T00:00:00"/>
    <s v="9989013172"/>
    <s v="STARBIRD CHICKEN - WALNUT CREEK"/>
    <n v="3"/>
    <x v="5"/>
  </r>
  <r>
    <d v="2025-03-19T00:00:00"/>
    <s v="9989013172"/>
    <s v="STARBIRD CHICKEN - WALNUT CREEK"/>
    <n v="2"/>
    <x v="17"/>
  </r>
  <r>
    <d v="2025-03-19T00:00:00"/>
    <s v="9989013172"/>
    <s v="STARBIRD CHICKEN - WALNUT CREEK"/>
    <n v="1"/>
    <x v="23"/>
  </r>
  <r>
    <d v="2025-03-19T00:00:00"/>
    <s v="9989013172"/>
    <s v="STARBIRD CHICKEN - WALNUT CREEK"/>
    <n v="2"/>
    <x v="10"/>
  </r>
  <r>
    <d v="2025-03-19T00:00:00"/>
    <s v="9989013172"/>
    <s v="STARBIRD CHICKEN - WALNUT CREEK"/>
    <n v="3"/>
    <x v="11"/>
  </r>
  <r>
    <d v="2025-03-19T00:00:00"/>
    <s v="9989013172"/>
    <s v="STARBIRD CHICKEN - WALNUT CREEK"/>
    <n v="3"/>
    <x v="1"/>
  </r>
  <r>
    <d v="2025-03-19T00:00:00"/>
    <s v="9989013172"/>
    <s v="STARBIRD CHICKEN - WALNUT CREEK"/>
    <n v="3"/>
    <x v="3"/>
  </r>
  <r>
    <d v="2025-03-19T00:00:00"/>
    <s v="9989013172"/>
    <s v="STARBIRD CHICKEN - WALNUT CREEK"/>
    <n v="3"/>
    <x v="4"/>
  </r>
  <r>
    <d v="2025-03-19T00:00:00"/>
    <s v="9989013173"/>
    <s v="THE MELT (STANFORD)"/>
    <n v="3"/>
    <x v="8"/>
  </r>
  <r>
    <d v="2025-03-19T00:00:00"/>
    <s v="9989013173"/>
    <s v="THE MELT (STANFORD)"/>
    <n v="2"/>
    <x v="15"/>
  </r>
  <r>
    <d v="2025-03-19T00:00:00"/>
    <s v="9989013173"/>
    <s v="THE MELT (STANFORD)"/>
    <n v="2"/>
    <x v="5"/>
  </r>
  <r>
    <d v="2025-03-19T00:00:00"/>
    <s v="9989013173"/>
    <s v="THE MELT (STANFORD)"/>
    <n v="2"/>
    <x v="9"/>
  </r>
  <r>
    <d v="2025-03-19T00:00:00"/>
    <s v="9989013173"/>
    <s v="THE MELT (STANFORD)"/>
    <n v="1"/>
    <x v="12"/>
  </r>
  <r>
    <d v="2025-03-19T00:00:00"/>
    <s v="9989013173"/>
    <s v="THE MELT (STANFORD)"/>
    <n v="1"/>
    <x v="10"/>
  </r>
  <r>
    <d v="2025-03-19T00:00:00"/>
    <s v="9989013174"/>
    <s v="PANCOAST PIZZA"/>
    <n v="1"/>
    <x v="5"/>
  </r>
  <r>
    <d v="2025-03-19T00:00:00"/>
    <s v="9989013174"/>
    <s v="PANCOAST PIZZA"/>
    <n v="1"/>
    <x v="12"/>
  </r>
  <r>
    <d v="2025-03-19T00:00:00"/>
    <s v="9989013174"/>
    <s v="PANCOAST PIZZA"/>
    <n v="1"/>
    <x v="15"/>
  </r>
  <r>
    <d v="2025-03-19T00:00:00"/>
    <s v="9989013174"/>
    <s v="PANCOAST PIZZA"/>
    <n v="1"/>
    <x v="8"/>
  </r>
  <r>
    <d v="2025-03-19T00:00:00"/>
    <s v="9989013175"/>
    <s v="STATE OF MIND SLICE HOUSE  (PALO ALTO)"/>
    <n v="1"/>
    <x v="8"/>
  </r>
  <r>
    <d v="2025-03-19T00:00:00"/>
    <s v="9989013175"/>
    <s v="STATE OF MIND SLICE HOUSE  (PALO ALTO)"/>
    <n v="1"/>
    <x v="15"/>
  </r>
  <r>
    <d v="2025-03-19T00:00:00"/>
    <s v="9989013175"/>
    <s v="STATE OF MIND SLICE HOUSE  (PALO ALTO)"/>
    <n v="1"/>
    <x v="7"/>
  </r>
  <r>
    <d v="2025-03-19T00:00:00"/>
    <s v="9989013175"/>
    <s v="STATE OF MIND SLICE HOUSE  (PALO ALTO)"/>
    <n v="1"/>
    <x v="17"/>
  </r>
  <r>
    <d v="2025-03-19T00:00:00"/>
    <s v="9989013176"/>
    <s v="THE MELT (DANVILLE)"/>
    <n v="1"/>
    <x v="10"/>
  </r>
  <r>
    <d v="2025-03-19T00:00:00"/>
    <s v="9989013176"/>
    <s v="THE MELT (DANVILLE)"/>
    <n v="1"/>
    <x v="12"/>
  </r>
  <r>
    <d v="2025-03-19T00:00:00"/>
    <s v="9989013176"/>
    <s v="THE MELT (DANVILLE)"/>
    <n v="1"/>
    <x v="9"/>
  </r>
  <r>
    <d v="2025-03-19T00:00:00"/>
    <s v="9989013177"/>
    <s v="ELLIOTTS"/>
    <n v="2"/>
    <x v="12"/>
  </r>
  <r>
    <d v="2025-03-19T00:00:00"/>
    <s v="9989013177"/>
    <s v="ELLIOTTS"/>
    <n v="1"/>
    <x v="8"/>
  </r>
  <r>
    <d v="2025-03-19T00:00:00"/>
    <s v="9989013178"/>
    <s v="STATE OF MIND PUBLIC HOUSE &amp; PIZZERIA (LOS ALTOS)"/>
    <n v="1"/>
    <x v="8"/>
  </r>
  <r>
    <d v="2025-03-19T00:00:00"/>
    <s v="9989013178"/>
    <s v="STATE OF MIND PUBLIC HOUSE &amp; PIZZERIA (LOS ALTOS)"/>
    <n v="1"/>
    <x v="15"/>
  </r>
  <r>
    <d v="2025-03-19T00:00:00"/>
    <s v="9989013178"/>
    <s v="STATE OF MIND PUBLIC HOUSE &amp; PIZZERIA (LOS ALTOS)"/>
    <n v="1"/>
    <x v="7"/>
  </r>
  <r>
    <d v="2025-03-19T00:00:00"/>
    <s v="9989013179"/>
    <s v="LUNA LOCA (JAINS FOODS)"/>
    <n v="1"/>
    <x v="15"/>
  </r>
  <r>
    <d v="2025-03-19T00:00:00"/>
    <s v="9989013179"/>
    <s v="LUNA LOCA (JAINS FOODS)"/>
    <n v="1"/>
    <x v="8"/>
  </r>
  <r>
    <d v="2025-03-19T00:00:00"/>
    <s v="9989013179"/>
    <s v="LUNA LOCA (JAINS FOODS)"/>
    <n v="1"/>
    <x v="7"/>
  </r>
  <r>
    <d v="2025-03-19T00:00:00"/>
    <s v="9989013180"/>
    <s v="MONTE CARLO"/>
    <n v="2"/>
    <x v="21"/>
  </r>
  <r>
    <d v="2025-03-19T00:00:00"/>
    <s v="9989013181"/>
    <s v="ALMANAC"/>
    <n v="18"/>
    <x v="4"/>
  </r>
  <r>
    <d v="2025-03-19T00:00:00"/>
    <s v="9989013181"/>
    <s v="ALMANAC"/>
    <n v="15"/>
    <x v="11"/>
  </r>
  <r>
    <d v="2025-03-19T00:00:00"/>
    <s v="9989013181"/>
    <s v="ALMANAC"/>
    <n v="15"/>
    <x v="1"/>
  </r>
  <r>
    <d v="2025-03-19T00:00:00"/>
    <s v="9989013181"/>
    <s v="ALMANAC"/>
    <n v="12"/>
    <x v="3"/>
  </r>
  <r>
    <d v="2025-03-19T00:00:00"/>
    <s v="9989013181"/>
    <s v="ALMANAC"/>
    <n v="3"/>
    <x v="0"/>
  </r>
  <r>
    <d v="2025-03-19T00:00:00"/>
    <s v="9989013181"/>
    <s v="ALMANAC"/>
    <n v="3"/>
    <x v="2"/>
  </r>
  <r>
    <d v="2025-03-19T00:00:00"/>
    <s v="9989013182"/>
    <s v="STARBIRD CHICKEN - PLEASANTON"/>
    <n v="3"/>
    <x v="8"/>
  </r>
  <r>
    <d v="2025-03-19T00:00:00"/>
    <s v="9989013182"/>
    <s v="STARBIRD CHICKEN - PLEASANTON"/>
    <n v="1"/>
    <x v="15"/>
  </r>
  <r>
    <d v="2025-03-19T00:00:00"/>
    <s v="9989013182"/>
    <s v="STARBIRD CHICKEN - PLEASANTON"/>
    <n v="2"/>
    <x v="5"/>
  </r>
  <r>
    <d v="2025-03-19T00:00:00"/>
    <s v="9989013182"/>
    <s v="STARBIRD CHICKEN - PLEASANTON"/>
    <n v="2"/>
    <x v="10"/>
  </r>
  <r>
    <d v="2025-03-19T00:00:00"/>
    <s v="9989013182"/>
    <s v="STARBIRD CHICKEN - PLEASANTON"/>
    <n v="1"/>
    <x v="11"/>
  </r>
  <r>
    <d v="2025-03-19T00:00:00"/>
    <s v="9989013182"/>
    <s v="STARBIRD CHICKEN - PLEASANTON"/>
    <n v="1"/>
    <x v="1"/>
  </r>
  <r>
    <d v="2025-03-19T00:00:00"/>
    <s v="9989013182"/>
    <s v="STARBIRD CHICKEN - PLEASANTON"/>
    <n v="1"/>
    <x v="4"/>
  </r>
  <r>
    <d v="2025-03-19T00:00:00"/>
    <s v="9989013183"/>
    <s v="GOLD RUSH EATERY"/>
    <n v="1"/>
    <x v="26"/>
  </r>
  <r>
    <d v="2025-03-19T00:00:00"/>
    <s v="9989013183"/>
    <s v="GOLD RUSH EATERY"/>
    <n v="1"/>
    <x v="13"/>
  </r>
  <r>
    <d v="2025-03-19T00:00:00"/>
    <s v="9989013183"/>
    <s v="GOLD RUSH EATERY"/>
    <n v="2"/>
    <x v="17"/>
  </r>
  <r>
    <d v="2025-03-19T00:00:00"/>
    <s v="9989013183"/>
    <s v="GOLD RUSH EATERY"/>
    <n v="1"/>
    <x v="7"/>
  </r>
  <r>
    <d v="2025-03-19T00:00:00"/>
    <s v="9989013184"/>
    <s v="CALI KID BURGERS AND SHAKES"/>
    <n v="1"/>
    <x v="8"/>
  </r>
  <r>
    <d v="2025-03-19T00:00:00"/>
    <s v="9989013184"/>
    <s v="CALI KID BURGERS AND SHAKES"/>
    <n v="1"/>
    <x v="15"/>
  </r>
  <r>
    <d v="2025-03-19T00:00:00"/>
    <s v="9989013184"/>
    <s v="CALI KID BURGERS AND SHAKES"/>
    <n v="1"/>
    <x v="9"/>
  </r>
  <r>
    <d v="2025-03-19T00:00:00"/>
    <s v="9989013184"/>
    <s v="CALI KID BURGERS AND SHAKES"/>
    <n v="1"/>
    <x v="12"/>
  </r>
  <r>
    <d v="2025-03-19T00:00:00"/>
    <s v="9989013184"/>
    <s v="CALI KID BURGERS AND SHAKES"/>
    <n v="1"/>
    <x v="6"/>
  </r>
  <r>
    <d v="2025-03-19T00:00:00"/>
    <s v="9989013184"/>
    <s v="CALI KID BURGERS AND SHAKES"/>
    <n v="1"/>
    <x v="5"/>
  </r>
  <r>
    <d v="2025-03-19T00:00:00"/>
    <s v="9989013184"/>
    <s v="CALI KID BURGERS AND SHAKES"/>
    <n v="1"/>
    <x v="17"/>
  </r>
  <r>
    <d v="2025-03-19T00:00:00"/>
    <s v="9989013184"/>
    <s v="CALI KID BURGERS AND SHAKES"/>
    <n v="1"/>
    <x v="10"/>
  </r>
  <r>
    <d v="2025-03-19T00:00:00"/>
    <s v="9989013185"/>
    <s v="LIVERMORE CASINO"/>
    <n v="1"/>
    <x v="13"/>
  </r>
  <r>
    <d v="2025-03-19T00:00:00"/>
    <s v="9989013185"/>
    <s v="LIVERMORE CASINO"/>
    <n v="1"/>
    <x v="26"/>
  </r>
  <r>
    <d v="2025-03-19T00:00:00"/>
    <s v="9989013185"/>
    <s v="LIVERMORE CASINO"/>
    <n v="1"/>
    <x v="18"/>
  </r>
  <r>
    <d v="2025-03-19T00:00:00"/>
    <s v="9989013186"/>
    <s v="MEDITERRANEAN BAR"/>
    <n v="1"/>
    <x v="15"/>
  </r>
  <r>
    <d v="2025-03-19T00:00:00"/>
    <s v="9989013186"/>
    <s v="MEDITERRANEAN BAR"/>
    <n v="1"/>
    <x v="8"/>
  </r>
  <r>
    <d v="2025-03-19T00:00:00"/>
    <s v="9989013186"/>
    <s v="MEDITERRANEAN BAR"/>
    <n v="1"/>
    <x v="12"/>
  </r>
  <r>
    <d v="2025-03-19T00:00:00"/>
    <s v="9989013186"/>
    <s v="MEDITERRANEAN BAR"/>
    <n v="1"/>
    <x v="19"/>
  </r>
  <r>
    <d v="2025-03-19T00:00:00"/>
    <s v="9989013186"/>
    <s v="MEDITERRANEAN BAR"/>
    <n v="1"/>
    <x v="18"/>
  </r>
  <r>
    <d v="2025-03-19T00:00:00"/>
    <s v="9989013186"/>
    <s v="MEDITERRANEAN BAR"/>
    <n v="1"/>
    <x v="14"/>
  </r>
  <r>
    <d v="2025-03-19T00:00:00"/>
    <s v="9989013186"/>
    <s v="MEDITERRANEAN BAR"/>
    <n v="1"/>
    <x v="28"/>
  </r>
  <r>
    <d v="2025-03-19T00:00:00"/>
    <s v="9989013186"/>
    <s v="MEDITERRANEAN BAR"/>
    <n v="1"/>
    <x v="37"/>
  </r>
  <r>
    <d v="2025-03-19T00:00:00"/>
    <s v="9989013187"/>
    <s v="GATHER"/>
    <n v="3"/>
    <x v="11"/>
  </r>
  <r>
    <d v="2025-03-19T00:00:00"/>
    <s v="9989013187"/>
    <s v="GATHER"/>
    <n v="2"/>
    <x v="1"/>
  </r>
  <r>
    <d v="2025-03-20T00:00:00"/>
    <s v="9989013188"/>
    <s v="AVIATION ROOFTOP BAR AND KITCHEN"/>
    <n v="1"/>
    <x v="15"/>
  </r>
  <r>
    <d v="2025-03-20T00:00:00"/>
    <s v="9989013188"/>
    <s v="AVIATION ROOFTOP BAR AND KITCHEN"/>
    <n v="1"/>
    <x v="8"/>
  </r>
  <r>
    <d v="2025-03-20T00:00:00"/>
    <s v="9989013189"/>
    <s v="THE OLD SHIP SALOON"/>
    <n v="1"/>
    <x v="8"/>
  </r>
  <r>
    <d v="2025-03-20T00:00:00"/>
    <s v="9989013189"/>
    <s v="THE OLD SHIP SALOON"/>
    <n v="1"/>
    <x v="15"/>
  </r>
  <r>
    <d v="2025-03-20T00:00:00"/>
    <s v="9989013189"/>
    <s v="THE OLD SHIP SALOON"/>
    <n v="1"/>
    <x v="12"/>
  </r>
  <r>
    <d v="2025-03-20T00:00:00"/>
    <s v="9989013189"/>
    <s v="THE OLD SHIP SALOON"/>
    <n v="1"/>
    <x v="19"/>
  </r>
  <r>
    <d v="2025-03-20T00:00:00"/>
    <s v="9989013190"/>
    <s v="THE MELT (925 MARKET)"/>
    <n v="5"/>
    <x v="8"/>
  </r>
  <r>
    <d v="2025-03-20T00:00:00"/>
    <s v="9989013190"/>
    <s v="THE MELT (925 MARKET)"/>
    <n v="4"/>
    <x v="5"/>
  </r>
  <r>
    <d v="2025-03-20T00:00:00"/>
    <s v="9989013190"/>
    <s v="THE MELT (925 MARKET)"/>
    <n v="3"/>
    <x v="15"/>
  </r>
  <r>
    <d v="2025-03-20T00:00:00"/>
    <s v="9989013190"/>
    <s v="THE MELT (925 MARKET)"/>
    <n v="2"/>
    <x v="12"/>
  </r>
  <r>
    <d v="2025-03-20T00:00:00"/>
    <s v="9989013190"/>
    <s v="THE MELT (925 MARKET)"/>
    <n v="2"/>
    <x v="9"/>
  </r>
  <r>
    <d v="2025-03-20T00:00:00"/>
    <s v="9989013190"/>
    <s v="THE MELT (925 MARKET)"/>
    <n v="1"/>
    <x v="10"/>
  </r>
  <r>
    <d v="2025-03-20T00:00:00"/>
    <s v="9989013191"/>
    <s v="UNION STREET ALE HOUSE"/>
    <n v="1"/>
    <x v="12"/>
  </r>
  <r>
    <d v="2025-03-20T00:00:00"/>
    <s v="9989013192"/>
    <s v="UCSF MEDICAL CENTER PARNASSUS"/>
    <n v="2"/>
    <x v="31"/>
  </r>
  <r>
    <d v="2025-03-20T00:00:00"/>
    <s v="9989013192"/>
    <s v="UCSF MEDICAL CENTER PARNASSUS"/>
    <n v="2"/>
    <x v="35"/>
  </r>
  <r>
    <d v="2025-03-20T00:00:00"/>
    <s v="9989013192"/>
    <s v="UCSF MEDICAL CENTER PARNASSUS"/>
    <n v="1"/>
    <x v="34"/>
  </r>
  <r>
    <d v="2025-03-20T00:00:00"/>
    <s v="9989013192"/>
    <s v="UCSF MEDICAL CENTER PARNASSUS"/>
    <n v="1"/>
    <x v="24"/>
  </r>
  <r>
    <d v="2025-03-20T00:00:00"/>
    <s v="9989013192"/>
    <s v="UCSF MEDICAL CENTER PARNASSUS"/>
    <n v="2"/>
    <x v="36"/>
  </r>
  <r>
    <d v="2025-03-20T00:00:00"/>
    <s v="9989013193"/>
    <s v="BALBOA THEATER"/>
    <n v="2"/>
    <x v="26"/>
  </r>
  <r>
    <d v="2025-03-20T00:00:00"/>
    <s v="9989013193"/>
    <s v="BALBOA THEATER"/>
    <n v="2"/>
    <x v="13"/>
  </r>
  <r>
    <d v="2025-03-20T00:00:00"/>
    <s v="9989013194"/>
    <s v="CHABOT THEATER"/>
    <n v="3"/>
    <x v="15"/>
  </r>
  <r>
    <d v="2025-03-20T00:00:00"/>
    <s v="9989013194"/>
    <s v="CHABOT THEATER"/>
    <n v="3"/>
    <x v="5"/>
  </r>
  <r>
    <d v="2025-03-20T00:00:00"/>
    <s v="9989013194"/>
    <s v="CHABOT THEATER"/>
    <n v="2"/>
    <x v="7"/>
  </r>
  <r>
    <d v="2025-03-20T00:00:00"/>
    <s v="9989013194"/>
    <s v="CHABOT THEATER"/>
    <n v="2"/>
    <x v="12"/>
  </r>
  <r>
    <d v="2025-03-20T00:00:00"/>
    <s v="9989013194"/>
    <s v="CHABOT THEATER"/>
    <n v="1"/>
    <x v="8"/>
  </r>
  <r>
    <d v="2025-03-20T00:00:00"/>
    <s v="9989013194"/>
    <s v="CHABOT THEATER"/>
    <n v="1"/>
    <x v="6"/>
  </r>
  <r>
    <d v="2025-03-20T00:00:00"/>
    <s v="9989013194"/>
    <s v="CHABOT THEATER"/>
    <n v="1"/>
    <x v="9"/>
  </r>
  <r>
    <d v="2025-03-20T00:00:00"/>
    <s v="9989013195"/>
    <s v="AL'S FOOD MARKET"/>
    <n v="1"/>
    <x v="11"/>
  </r>
  <r>
    <d v="2025-03-20T00:00:00"/>
    <s v="9989013195"/>
    <s v="AL'S FOOD MARKET"/>
    <n v="1"/>
    <x v="1"/>
  </r>
  <r>
    <d v="2025-03-20T00:00:00"/>
    <s v="9989013195"/>
    <s v="AL'S FOOD MARKET"/>
    <n v="1"/>
    <x v="3"/>
  </r>
  <r>
    <d v="2025-03-20T00:00:00"/>
    <s v="9989013195"/>
    <s v="AL'S FOOD MARKET"/>
    <n v="1"/>
    <x v="4"/>
  </r>
  <r>
    <d v="2025-03-20T00:00:00"/>
    <s v="9989013195"/>
    <s v="AL'S FOOD MARKET"/>
    <n v="1"/>
    <x v="0"/>
  </r>
  <r>
    <d v="2025-03-20T00:00:00"/>
    <s v="9989013196"/>
    <s v="MONROE"/>
    <n v="1"/>
    <x v="18"/>
  </r>
  <r>
    <d v="2025-03-20T00:00:00"/>
    <s v="9989013196"/>
    <s v="MONROE"/>
    <n v="1"/>
    <x v="12"/>
  </r>
  <r>
    <d v="2025-03-20T00:00:00"/>
    <s v="9989013197"/>
    <s v="GREAT AMERICAN MUSIC HALL"/>
    <n v="2"/>
    <x v="8"/>
  </r>
  <r>
    <d v="2025-03-20T00:00:00"/>
    <s v="9989013197"/>
    <s v="GREAT AMERICAN MUSIC HALL"/>
    <n v="1"/>
    <x v="12"/>
  </r>
  <r>
    <d v="2025-03-20T00:00:00"/>
    <s v="9989013197"/>
    <s v="GREAT AMERICAN MUSIC HALL"/>
    <n v="1"/>
    <x v="18"/>
  </r>
  <r>
    <d v="2025-03-20T00:00:00"/>
    <s v="9989013197"/>
    <s v="GREAT AMERICAN MUSIC HALL"/>
    <n v="1"/>
    <x v="10"/>
  </r>
  <r>
    <d v="2025-03-20T00:00:00"/>
    <s v="9989013198"/>
    <s v="STARBIRD CHICKEN - SAN JOSE"/>
    <n v="1"/>
    <x v="15"/>
  </r>
  <r>
    <d v="2025-03-20T00:00:00"/>
    <s v="9989013198"/>
    <s v="STARBIRD CHICKEN - SAN JOSE"/>
    <n v="1"/>
    <x v="8"/>
  </r>
  <r>
    <d v="2025-03-20T00:00:00"/>
    <s v="9989013198"/>
    <s v="STARBIRD CHICKEN - SAN JOSE"/>
    <n v="1"/>
    <x v="12"/>
  </r>
  <r>
    <d v="2025-03-20T00:00:00"/>
    <s v="9989013198"/>
    <s v="STARBIRD CHICKEN - SAN JOSE"/>
    <n v="1"/>
    <x v="5"/>
  </r>
  <r>
    <d v="2025-03-20T00:00:00"/>
    <s v="9989013198"/>
    <s v="STARBIRD CHICKEN - SAN JOSE"/>
    <n v="1"/>
    <x v="17"/>
  </r>
  <r>
    <d v="2025-03-20T00:00:00"/>
    <s v="9989013198"/>
    <s v="STARBIRD CHICKEN - SAN JOSE"/>
    <n v="1"/>
    <x v="3"/>
  </r>
  <r>
    <d v="2025-03-20T00:00:00"/>
    <s v="9989013199"/>
    <s v="THE MELT (SANTA CLARA 0045)"/>
    <n v="2"/>
    <x v="8"/>
  </r>
  <r>
    <d v="2025-03-20T00:00:00"/>
    <s v="9989013199"/>
    <s v="THE MELT (SANTA CLARA 0045)"/>
    <n v="2"/>
    <x v="12"/>
  </r>
  <r>
    <d v="2025-03-20T00:00:00"/>
    <s v="9989013199"/>
    <s v="THE MELT (SANTA CLARA 0045)"/>
    <n v="2"/>
    <x v="5"/>
  </r>
  <r>
    <d v="2025-03-20T00:00:00"/>
    <s v="9989013199"/>
    <s v="THE MELT (SANTA CLARA 0045)"/>
    <n v="1"/>
    <x v="15"/>
  </r>
  <r>
    <d v="2025-03-20T00:00:00"/>
    <s v="9989013199"/>
    <s v="THE MELT (SANTA CLARA 0045)"/>
    <n v="1"/>
    <x v="16"/>
  </r>
  <r>
    <d v="2025-03-20T00:00:00"/>
    <s v="9989013199"/>
    <s v="THE MELT (SANTA CLARA 0045)"/>
    <n v="1"/>
    <x v="9"/>
  </r>
  <r>
    <d v="2025-03-20T00:00:00"/>
    <s v="9989013199"/>
    <s v="THE MELT (SANTA CLARA 0045)"/>
    <n v="1"/>
    <x v="10"/>
  </r>
  <r>
    <d v="2025-03-20T00:00:00"/>
    <s v="9989013200"/>
    <s v="STARBIRD CHICKEN-CUPERTINO"/>
    <n v="1"/>
    <x v="5"/>
  </r>
  <r>
    <d v="2025-03-20T00:00:00"/>
    <s v="9989013200"/>
    <s v="STARBIRD CHICKEN-CUPERTINO"/>
    <n v="1"/>
    <x v="8"/>
  </r>
  <r>
    <d v="2025-03-20T00:00:00"/>
    <s v="9989013200"/>
    <s v="STARBIRD CHICKEN-CUPERTINO"/>
    <n v="1"/>
    <x v="15"/>
  </r>
  <r>
    <d v="2025-03-20T00:00:00"/>
    <s v="9989013201"/>
    <s v="DUKE OF EDINBURGH"/>
    <n v="2"/>
    <x v="7"/>
  </r>
  <r>
    <d v="2025-03-20T00:00:00"/>
    <s v="9989013201"/>
    <s v="DUKE OF EDINBURGH"/>
    <n v="2"/>
    <x v="12"/>
  </r>
  <r>
    <d v="2025-03-20T00:00:00"/>
    <s v="9989013201"/>
    <s v="DUKE OF EDINBURGH"/>
    <n v="3"/>
    <x v="15"/>
  </r>
  <r>
    <d v="2025-03-20T00:00:00"/>
    <s v="9989013201"/>
    <s v="DUKE OF EDINBURGH"/>
    <n v="3"/>
    <x v="8"/>
  </r>
  <r>
    <d v="2025-03-20T00:00:00"/>
    <s v="9989013203"/>
    <s v="AMERICAN LEGION 791 SJ"/>
    <n v="2"/>
    <x v="8"/>
  </r>
  <r>
    <d v="2025-03-20T00:00:00"/>
    <s v="9989013203"/>
    <s v="AMERICAN LEGION 791 SJ"/>
    <n v="1"/>
    <x v="15"/>
  </r>
  <r>
    <d v="2025-03-20T00:00:00"/>
    <s v="9989013203"/>
    <s v="AMERICAN LEGION 791 SJ"/>
    <n v="1"/>
    <x v="12"/>
  </r>
  <r>
    <d v="2025-03-20T00:00:00"/>
    <s v="9989013204"/>
    <s v="STRAITS SANTANA ROW"/>
    <n v="1"/>
    <x v="18"/>
  </r>
  <r>
    <d v="2025-03-20T00:00:00"/>
    <s v="9989013204"/>
    <s v="STRAITS SANTANA ROW"/>
    <n v="1"/>
    <x v="15"/>
  </r>
  <r>
    <d v="2025-03-20T00:00:00"/>
    <s v="9989013204"/>
    <s v="STRAITS SANTANA ROW"/>
    <n v="1"/>
    <x v="8"/>
  </r>
  <r>
    <d v="2025-03-20T00:00:00"/>
    <s v="9989013206"/>
    <s v="SLICE HOUSE"/>
    <n v="1"/>
    <x v="8"/>
  </r>
  <r>
    <d v="2025-03-20T00:00:00"/>
    <s v="9989013206"/>
    <s v="SLICE HOUSE"/>
    <n v="1"/>
    <x v="12"/>
  </r>
  <r>
    <d v="2025-03-20T00:00:00"/>
    <s v="9989013206"/>
    <s v="SLICE HOUSE"/>
    <n v="1"/>
    <x v="5"/>
  </r>
  <r>
    <d v="2025-03-20T00:00:00"/>
    <s v="9989013206"/>
    <s v="SLICE HOUSE"/>
    <n v="1"/>
    <x v="7"/>
  </r>
  <r>
    <d v="2025-03-20T00:00:00"/>
    <s v="9989013207"/>
    <s v="THE TEMPLE BAR"/>
    <n v="2"/>
    <x v="28"/>
  </r>
  <r>
    <d v="2025-03-20T00:00:00"/>
    <s v="9989013207"/>
    <s v="THE TEMPLE BAR"/>
    <n v="1"/>
    <x v="14"/>
  </r>
  <r>
    <d v="2025-03-20T00:00:00"/>
    <s v="9989013207"/>
    <s v="THE TEMPLE BAR"/>
    <n v="1"/>
    <x v="22"/>
  </r>
  <r>
    <d v="2025-03-20T00:00:00"/>
    <s v="9989013207"/>
    <s v="THE TEMPLE BAR"/>
    <n v="1"/>
    <x v="8"/>
  </r>
  <r>
    <d v="2025-03-20T00:00:00"/>
    <s v="9989013207"/>
    <s v="THE TEMPLE BAR"/>
    <n v="1"/>
    <x v="12"/>
  </r>
  <r>
    <d v="2025-03-21T00:00:00"/>
    <s v="9989013209"/>
    <s v="CORICA PARK"/>
    <n v="4"/>
    <x v="1"/>
  </r>
  <r>
    <d v="2025-03-21T00:00:00"/>
    <s v="9989013209"/>
    <s v="CORICA PARK"/>
    <n v="4"/>
    <x v="11"/>
  </r>
  <r>
    <d v="2025-03-21T00:00:00"/>
    <s v="9989013209"/>
    <s v="CORICA PARK"/>
    <n v="4"/>
    <x v="2"/>
  </r>
  <r>
    <d v="2025-03-21T00:00:00"/>
    <s v="9989013209"/>
    <s v="CORICA PARK"/>
    <n v="4"/>
    <x v="4"/>
  </r>
  <r>
    <d v="2025-03-21T00:00:00"/>
    <s v="9989013210"/>
    <s v="PIXAR ANIMATION STUDIOS"/>
    <n v="1"/>
    <x v="15"/>
  </r>
  <r>
    <d v="2025-03-21T00:00:00"/>
    <s v="9989013210"/>
    <s v="PIXAR ANIMATION STUDIOS"/>
    <n v="1"/>
    <x v="12"/>
  </r>
  <r>
    <d v="2025-03-21T00:00:00"/>
    <s v="9989013210"/>
    <s v="PIXAR ANIMATION STUDIOS"/>
    <n v="1"/>
    <x v="7"/>
  </r>
  <r>
    <d v="2025-03-21T00:00:00"/>
    <s v="9989013210"/>
    <s v="PIXAR ANIMATION STUDIOS"/>
    <n v="1"/>
    <x v="10"/>
  </r>
  <r>
    <d v="2025-03-21T00:00:00"/>
    <s v="9989013211"/>
    <s v="LUCKY 13"/>
    <n v="1"/>
    <x v="15"/>
  </r>
  <r>
    <d v="2025-03-21T00:00:00"/>
    <s v="9989013211"/>
    <s v="LUCKY 13"/>
    <n v="1"/>
    <x v="8"/>
  </r>
  <r>
    <d v="2025-03-21T00:00:00"/>
    <s v="9989013211"/>
    <s v="LUCKY 13"/>
    <n v="1"/>
    <x v="14"/>
  </r>
  <r>
    <d v="2025-03-21T00:00:00"/>
    <s v="9989013212"/>
    <s v="ALAMEDA CINEMA GRILL"/>
    <n v="2"/>
    <x v="8"/>
  </r>
  <r>
    <d v="2025-03-21T00:00:00"/>
    <s v="9989013212"/>
    <s v="ALAMEDA CINEMA GRILL"/>
    <n v="2"/>
    <x v="12"/>
  </r>
  <r>
    <d v="2025-03-21T00:00:00"/>
    <s v="9989013212"/>
    <s v="ALAMEDA CINEMA GRILL"/>
    <n v="1"/>
    <x v="15"/>
  </r>
  <r>
    <d v="2025-03-21T00:00:00"/>
    <s v="9989013212"/>
    <s v="ALAMEDA CINEMA GRILL"/>
    <n v="1"/>
    <x v="24"/>
  </r>
  <r>
    <d v="2025-03-21T00:00:00"/>
    <s v="9989013212"/>
    <s v="ALAMEDA CINEMA GRILL"/>
    <n v="2"/>
    <x v="10"/>
  </r>
  <r>
    <d v="2025-03-21T00:00:00"/>
    <s v="9989013213"/>
    <s v="THE MELT- PARADISE VALLEY AZ"/>
    <n v="2"/>
    <x v="16"/>
  </r>
  <r>
    <d v="2025-03-21T00:00:00"/>
    <s v="9989013213"/>
    <s v="THE MELT- PARADISE VALLEY AZ"/>
    <n v="2"/>
    <x v="8"/>
  </r>
  <r>
    <d v="2025-03-21T00:00:00"/>
    <s v="9989013213"/>
    <s v="THE MELT- PARADISE VALLEY AZ"/>
    <n v="1"/>
    <x v="15"/>
  </r>
  <r>
    <d v="2025-03-21T00:00:00"/>
    <s v="9989013213"/>
    <s v="THE MELT- PARADISE VALLEY AZ"/>
    <n v="1"/>
    <x v="12"/>
  </r>
  <r>
    <d v="2025-03-21T00:00:00"/>
    <s v="9989013213"/>
    <s v="THE MELT- PARADISE VALLEY AZ"/>
    <n v="1"/>
    <x v="9"/>
  </r>
  <r>
    <d v="2025-03-21T00:00:00"/>
    <s v="9989013213"/>
    <s v="THE MELT- PARADISE VALLEY AZ"/>
    <n v="4"/>
    <x v="5"/>
  </r>
  <r>
    <d v="2025-03-21T00:00:00"/>
    <s v="9989013214"/>
    <s v="STARBIRD CHICKEN - CORTE MADERA"/>
    <n v="1"/>
    <x v="8"/>
  </r>
  <r>
    <d v="2025-03-21T00:00:00"/>
    <s v="9989013214"/>
    <s v="STARBIRD CHICKEN - CORTE MADERA"/>
    <n v="1"/>
    <x v="15"/>
  </r>
  <r>
    <d v="2025-03-21T00:00:00"/>
    <s v="9989013214"/>
    <s v="STARBIRD CHICKEN - CORTE MADERA"/>
    <n v="1"/>
    <x v="12"/>
  </r>
  <r>
    <d v="2025-03-21T00:00:00"/>
    <s v="9989013214"/>
    <s v="STARBIRD CHICKEN - CORTE MADERA"/>
    <n v="1"/>
    <x v="10"/>
  </r>
  <r>
    <d v="2025-03-21T00:00:00"/>
    <s v="9989013215"/>
    <s v="EL TENAMPA"/>
    <n v="3"/>
    <x v="28"/>
  </r>
  <r>
    <d v="2025-03-21T00:00:00"/>
    <s v="9989013215"/>
    <s v="EL TENAMPA"/>
    <n v="1"/>
    <x v="14"/>
  </r>
  <r>
    <d v="2025-03-21T00:00:00"/>
    <s v="9989013217"/>
    <s v="TRIPLE ROCK BREWING COMPANY"/>
    <n v="2"/>
    <x v="10"/>
  </r>
  <r>
    <d v="2025-03-21T00:00:00"/>
    <s v="9989013217"/>
    <s v="TRIPLE ROCK BREWING COMPANY"/>
    <n v="1"/>
    <x v="8"/>
  </r>
  <r>
    <d v="2025-03-21T00:00:00"/>
    <s v="9989013217"/>
    <s v="TRIPLE ROCK BREWING COMPANY"/>
    <n v="1"/>
    <x v="7"/>
  </r>
  <r>
    <d v="2025-03-21T00:00:00"/>
    <s v="9989013218"/>
    <s v="ROSES ON ADELINE"/>
    <n v="1"/>
    <x v="15"/>
  </r>
  <r>
    <d v="2025-03-21T00:00:00"/>
    <s v="9989013220"/>
    <s v="THE STORK CLUB"/>
    <n v="2"/>
    <x v="8"/>
  </r>
  <r>
    <d v="2025-03-21T00:00:00"/>
    <s v="9989013220"/>
    <s v="THE STORK CLUB"/>
    <n v="1"/>
    <x v="18"/>
  </r>
  <r>
    <d v="2025-03-21T00:00:00"/>
    <s v="9989013220"/>
    <s v="THE STORK CLUB"/>
    <n v="1"/>
    <x v="12"/>
  </r>
  <r>
    <d v="2025-03-21T00:00:00"/>
    <s v="9989013221"/>
    <s v="MILLENNIUM RESTAURANT"/>
    <n v="4"/>
    <x v="38"/>
  </r>
  <r>
    <d v="2025-03-21T00:00:00"/>
    <s v="9989013222"/>
    <s v="SALTBREAKER"/>
    <n v="1"/>
    <x v="38"/>
  </r>
  <r>
    <d v="2025-03-24T00:00:00"/>
    <s v="9989013223"/>
    <s v="TOP DOG #3 LAK"/>
    <n v="2"/>
    <x v="13"/>
  </r>
  <r>
    <d v="2025-03-24T00:00:00"/>
    <s v="9989013223"/>
    <s v="TOP DOG #3 LAK"/>
    <n v="2"/>
    <x v="5"/>
  </r>
  <r>
    <d v="2025-03-24T00:00:00"/>
    <s v="9989013223"/>
    <s v="TOP DOG #3 LAK"/>
    <n v="2"/>
    <x v="7"/>
  </r>
  <r>
    <d v="2025-03-24T00:00:00"/>
    <s v="9989013224"/>
    <s v="THE MELT (FOLSOM)"/>
    <n v="2"/>
    <x v="8"/>
  </r>
  <r>
    <d v="2025-03-24T00:00:00"/>
    <s v="9989013224"/>
    <s v="THE MELT (FOLSOM)"/>
    <n v="1"/>
    <x v="16"/>
  </r>
  <r>
    <d v="2025-03-24T00:00:00"/>
    <s v="9989013224"/>
    <s v="THE MELT (FOLSOM)"/>
    <n v="1"/>
    <x v="15"/>
  </r>
  <r>
    <d v="2025-03-24T00:00:00"/>
    <s v="9989013224"/>
    <s v="THE MELT (FOLSOM)"/>
    <n v="1"/>
    <x v="12"/>
  </r>
  <r>
    <d v="2025-03-24T00:00:00"/>
    <s v="9989013224"/>
    <s v="THE MELT (FOLSOM)"/>
    <n v="1"/>
    <x v="5"/>
  </r>
  <r>
    <d v="2025-03-24T00:00:00"/>
    <s v="9989013224"/>
    <s v="THE MELT (FOLSOM)"/>
    <n v="1"/>
    <x v="10"/>
  </r>
  <r>
    <d v="2025-03-24T00:00:00"/>
    <s v="9989013225"/>
    <s v="THE MELT (SACRAMENTO-BLVD)"/>
    <n v="3"/>
    <x v="16"/>
  </r>
  <r>
    <d v="2025-03-24T00:00:00"/>
    <s v="9989013225"/>
    <s v="THE MELT (SACRAMENTO-BLVD)"/>
    <n v="2"/>
    <x v="8"/>
  </r>
  <r>
    <d v="2025-03-24T00:00:00"/>
    <s v="9989013225"/>
    <s v="THE MELT (SACRAMENTO-BLVD)"/>
    <n v="2"/>
    <x v="15"/>
  </r>
  <r>
    <d v="2025-03-24T00:00:00"/>
    <s v="9989013225"/>
    <s v="THE MELT (SACRAMENTO-BLVD)"/>
    <n v="2"/>
    <x v="10"/>
  </r>
  <r>
    <d v="2025-03-24T00:00:00"/>
    <s v="9989013225"/>
    <s v="THE MELT (SACRAMENTO-BLVD)"/>
    <n v="3"/>
    <x v="5"/>
  </r>
  <r>
    <d v="2025-03-25T00:00:00"/>
    <s v="9989013228"/>
    <s v="SCOMAS RESTAURANT"/>
    <n v="2"/>
    <x v="5"/>
  </r>
  <r>
    <d v="2025-03-25T00:00:00"/>
    <s v="9989013228"/>
    <s v="SCOMAS RESTAURANT"/>
    <n v="2"/>
    <x v="7"/>
  </r>
  <r>
    <d v="2025-03-25T00:00:00"/>
    <s v="9989013229"/>
    <s v="STARBIRD CHICKEN - SF CLOUD"/>
    <n v="5"/>
    <x v="1"/>
  </r>
  <r>
    <d v="2025-03-25T00:00:00"/>
    <s v="9989013229"/>
    <s v="STARBIRD CHICKEN - SF CLOUD"/>
    <n v="5"/>
    <x v="3"/>
  </r>
  <r>
    <d v="2025-03-25T00:00:00"/>
    <s v="9989013229"/>
    <s v="STARBIRD CHICKEN - SF CLOUD"/>
    <n v="2"/>
    <x v="11"/>
  </r>
  <r>
    <d v="2025-03-25T00:00:00"/>
    <s v="9989013229"/>
    <s v="STARBIRD CHICKEN - SF CLOUD"/>
    <n v="2"/>
    <x v="4"/>
  </r>
  <r>
    <d v="2025-03-25T00:00:00"/>
    <s v="9989013230"/>
    <s v="THE MELT (455 MARKET)"/>
    <n v="2"/>
    <x v="8"/>
  </r>
  <r>
    <d v="2025-03-25T00:00:00"/>
    <s v="9989013230"/>
    <s v="THE MELT (455 MARKET)"/>
    <n v="2"/>
    <x v="5"/>
  </r>
  <r>
    <d v="2025-03-25T00:00:00"/>
    <s v="9989013230"/>
    <s v="THE MELT (455 MARKET)"/>
    <n v="1"/>
    <x v="9"/>
  </r>
  <r>
    <d v="2025-03-25T00:00:00"/>
    <s v="9989013230"/>
    <s v="THE MELT (455 MARKET)"/>
    <n v="1"/>
    <x v="12"/>
  </r>
  <r>
    <d v="2025-03-25T00:00:00"/>
    <s v="9989013230"/>
    <s v="THE MELT (455 MARKET)"/>
    <n v="1"/>
    <x v="15"/>
  </r>
  <r>
    <d v="2025-03-25T00:00:00"/>
    <s v="9989013230"/>
    <s v="THE MELT (455 MARKET)"/>
    <n v="2"/>
    <x v="10"/>
  </r>
  <r>
    <d v="2025-03-25T00:00:00"/>
    <s v="9989013231"/>
    <s v="SCOLARIS ON PARK ST"/>
    <n v="4"/>
    <x v="1"/>
  </r>
  <r>
    <d v="2025-03-25T00:00:00"/>
    <s v="9989013231"/>
    <s v="SCOLARIS ON PARK ST"/>
    <n v="4"/>
    <x v="4"/>
  </r>
  <r>
    <d v="2025-03-25T00:00:00"/>
    <s v="9989013231"/>
    <s v="SCOLARIS ON PARK ST"/>
    <n v="4"/>
    <x v="2"/>
  </r>
  <r>
    <d v="2025-03-25T00:00:00"/>
    <s v="9989013231"/>
    <s v="SCOLARIS ON PARK ST"/>
    <n v="3"/>
    <x v="11"/>
  </r>
  <r>
    <d v="2025-03-25T00:00:00"/>
    <s v="9989013231"/>
    <s v="SCOLARIS ON PARK ST"/>
    <n v="2"/>
    <x v="3"/>
  </r>
  <r>
    <d v="2025-03-25T00:00:00"/>
    <s v="9989013232"/>
    <s v="HIGH HORSE"/>
    <n v="1"/>
    <x v="15"/>
  </r>
  <r>
    <d v="2025-03-25T00:00:00"/>
    <s v="9989013232"/>
    <s v="HIGH HORSE"/>
    <n v="1"/>
    <x v="8"/>
  </r>
  <r>
    <d v="2025-03-25T00:00:00"/>
    <s v="9989013232"/>
    <s v="HIGH HORSE"/>
    <n v="1"/>
    <x v="12"/>
  </r>
  <r>
    <d v="2025-03-25T00:00:00"/>
    <s v="9989013232"/>
    <s v="HIGH HORSE"/>
    <n v="1"/>
    <x v="19"/>
  </r>
  <r>
    <d v="2025-03-25T00:00:00"/>
    <s v="9989013232"/>
    <s v="HIGH HORSE"/>
    <n v="1"/>
    <x v="7"/>
  </r>
  <r>
    <d v="2025-03-25T00:00:00"/>
    <s v="9989013232"/>
    <s v="HIGH HORSE"/>
    <n v="1"/>
    <x v="24"/>
  </r>
  <r>
    <d v="2025-03-25T00:00:00"/>
    <s v="9989013232"/>
    <s v="HIGH HORSE"/>
    <n v="1"/>
    <x v="10"/>
  </r>
  <r>
    <d v="2025-03-25T00:00:00"/>
    <s v="9989013233"/>
    <s v="DOMENICO'S"/>
    <n v="1"/>
    <x v="11"/>
  </r>
  <r>
    <d v="2025-03-25T00:00:00"/>
    <s v="9989013233"/>
    <s v="DOMENICO'S"/>
    <n v="1"/>
    <x v="3"/>
  </r>
  <r>
    <d v="2025-03-25T00:00:00"/>
    <s v="9989013233"/>
    <s v="DOMENICO'S"/>
    <n v="1"/>
    <x v="1"/>
  </r>
  <r>
    <d v="2025-03-25T00:00:00"/>
    <s v="9989013233"/>
    <s v="DOMENICO'S"/>
    <n v="1"/>
    <x v="4"/>
  </r>
  <r>
    <d v="2025-03-25T00:00:00"/>
    <s v="9989013234"/>
    <s v="BRIX BEVERAGE - SAMPLING"/>
    <n v="3"/>
    <x v="1"/>
  </r>
  <r>
    <d v="2025-03-25T00:00:00"/>
    <s v="9989013234"/>
    <s v="BRIX BEVERAGE - SAMPLING"/>
    <n v="1"/>
    <x v="11"/>
  </r>
  <r>
    <d v="2025-03-25T00:00:00"/>
    <s v="9989013234"/>
    <s v="BRIX BEVERAGE - SAMPLING"/>
    <n v="1"/>
    <x v="2"/>
  </r>
  <r>
    <d v="2025-03-25T00:00:00"/>
    <s v="9989013234"/>
    <s v="BRIX BEVERAGE - SAMPLING"/>
    <n v="1"/>
    <x v="0"/>
  </r>
  <r>
    <d v="2025-03-25T00:00:00"/>
    <s v="9989013234"/>
    <s v="BRIX BEVERAGE - SAMPLING"/>
    <n v="1"/>
    <x v="3"/>
  </r>
  <r>
    <d v="2025-03-25T00:00:00"/>
    <s v="9989013235"/>
    <s v="BRIX BEVERAGE - SAMPLING"/>
    <n v="3"/>
    <x v="1"/>
  </r>
  <r>
    <d v="2025-03-25T00:00:00"/>
    <s v="9989013235"/>
    <s v="BRIX BEVERAGE - SAMPLING"/>
    <n v="2"/>
    <x v="11"/>
  </r>
  <r>
    <d v="2025-03-25T00:00:00"/>
    <s v="9989013235"/>
    <s v="BRIX BEVERAGE - SAMPLING"/>
    <n v="1"/>
    <x v="2"/>
  </r>
  <r>
    <d v="2025-03-25T00:00:00"/>
    <s v="9989013235"/>
    <s v="BRIX BEVERAGE - SAMPLING"/>
    <n v="1"/>
    <x v="4"/>
  </r>
  <r>
    <d v="2025-03-25T00:00:00"/>
    <s v="9989013235"/>
    <s v="BRIX BEVERAGE - SAMPLING"/>
    <n v="1"/>
    <x v="0"/>
  </r>
  <r>
    <d v="2025-03-25T00:00:00"/>
    <s v="9989013235"/>
    <s v="BRIX BEVERAGE - SAMPLING"/>
    <n v="1"/>
    <x v="3"/>
  </r>
  <r>
    <d v="2025-03-25T00:00:00"/>
    <s v="9989013236"/>
    <s v="PIXAR ANIMATION STUDIOS"/>
    <n v="2"/>
    <x v="7"/>
  </r>
  <r>
    <d v="2025-03-25T00:00:00"/>
    <s v="9989013236"/>
    <s v="PIXAR ANIMATION STUDIOS"/>
    <n v="1"/>
    <x v="15"/>
  </r>
  <r>
    <d v="2025-03-25T00:00:00"/>
    <s v="9989013236"/>
    <s v="PIXAR ANIMATION STUDIOS"/>
    <n v="1"/>
    <x v="10"/>
  </r>
  <r>
    <d v="2025-03-25T00:00:00"/>
    <s v="9989013237"/>
    <s v="MARTUNIS"/>
    <n v="1"/>
    <x v="1"/>
  </r>
  <r>
    <d v="2025-03-25T00:00:00"/>
    <s v="9989013238"/>
    <s v="ARTHUR MAC'S LITTLE SNACK"/>
    <n v="2"/>
    <x v="8"/>
  </r>
  <r>
    <d v="2025-03-25T00:00:00"/>
    <s v="9989013238"/>
    <s v="ARTHUR MAC'S LITTLE SNACK"/>
    <n v="2"/>
    <x v="5"/>
  </r>
  <r>
    <d v="2025-03-25T00:00:00"/>
    <s v="9989013238"/>
    <s v="ARTHUR MAC'S LITTLE SNACK"/>
    <n v="2"/>
    <x v="10"/>
  </r>
  <r>
    <d v="2025-03-25T00:00:00"/>
    <s v="9989013238"/>
    <s v="ARTHUR MAC'S LITTLE SNACK"/>
    <n v="2"/>
    <x v="1"/>
  </r>
  <r>
    <d v="2025-03-25T00:00:00"/>
    <s v="9989013239"/>
    <s v="UCSF MEDICAL CENTER MISSION BAY"/>
    <n v="2"/>
    <x v="24"/>
  </r>
  <r>
    <d v="2025-03-25T00:00:00"/>
    <s v="9989013240"/>
    <s v="ELKS LODGE SSF #2091"/>
    <n v="1"/>
    <x v="14"/>
  </r>
  <r>
    <d v="2025-03-25T00:00:00"/>
    <s v="9989013240"/>
    <s v="ELKS LODGE SSF #2091"/>
    <n v="1"/>
    <x v="15"/>
  </r>
  <r>
    <d v="2025-03-25T00:00:00"/>
    <s v="9989013241"/>
    <s v="THE MELT (IRVINE SPECTRUM)"/>
    <n v="1"/>
    <x v="16"/>
  </r>
  <r>
    <d v="2025-03-25T00:00:00"/>
    <s v="9989013241"/>
    <s v="THE MELT (IRVINE SPECTRUM)"/>
    <n v="4"/>
    <x v="8"/>
  </r>
  <r>
    <d v="2025-03-25T00:00:00"/>
    <s v="9989013241"/>
    <s v="THE MELT (IRVINE SPECTRUM)"/>
    <n v="2"/>
    <x v="12"/>
  </r>
  <r>
    <d v="2025-03-25T00:00:00"/>
    <s v="9989013241"/>
    <s v="THE MELT (IRVINE SPECTRUM)"/>
    <n v="2"/>
    <x v="9"/>
  </r>
  <r>
    <d v="2025-03-25T00:00:00"/>
    <s v="9989013241"/>
    <s v="THE MELT (IRVINE SPECTRUM)"/>
    <n v="2"/>
    <x v="5"/>
  </r>
  <r>
    <d v="2025-03-25T00:00:00"/>
    <s v="9989013242"/>
    <s v="FOUR SEASONS"/>
    <n v="2"/>
    <x v="3"/>
  </r>
  <r>
    <d v="2025-03-25T00:00:00"/>
    <s v="9989013242"/>
    <s v="FOUR SEASONS"/>
    <n v="2"/>
    <x v="2"/>
  </r>
  <r>
    <d v="2025-03-25T00:00:00"/>
    <s v="9989013243"/>
    <s v="THE DEAD FISH"/>
    <n v="1"/>
    <x v="26"/>
  </r>
  <r>
    <d v="2025-03-25T00:00:00"/>
    <s v="9989013243"/>
    <s v="THE DEAD FISH"/>
    <n v="1"/>
    <x v="13"/>
  </r>
  <r>
    <d v="2025-03-25T00:00:00"/>
    <s v="9989013243"/>
    <s v="THE DEAD FISH"/>
    <n v="1"/>
    <x v="27"/>
  </r>
  <r>
    <d v="2025-03-25T00:00:00"/>
    <s v="9989013243"/>
    <s v="THE DEAD FISH"/>
    <n v="2"/>
    <x v="24"/>
  </r>
  <r>
    <d v="2025-03-25T00:00:00"/>
    <s v="9989013243"/>
    <s v="THE DEAD FISH"/>
    <n v="2"/>
    <x v="7"/>
  </r>
  <r>
    <d v="2025-03-25T00:00:00"/>
    <s v="9989013245"/>
    <s v="PIZZERIA PAPPO"/>
    <n v="2"/>
    <x v="1"/>
  </r>
  <r>
    <d v="2025-03-25T00:00:00"/>
    <s v="9989013245"/>
    <s v="PIZZERIA PAPPO"/>
    <n v="2"/>
    <x v="11"/>
  </r>
  <r>
    <d v="2025-03-25T00:00:00"/>
    <s v="9989013245"/>
    <s v="PIZZERIA PAPPO"/>
    <n v="2"/>
    <x v="4"/>
  </r>
  <r>
    <d v="2025-03-25T00:00:00"/>
    <s v="9989013245"/>
    <s v="PIZZERIA PAPPO"/>
    <n v="2"/>
    <x v="2"/>
  </r>
  <r>
    <d v="2025-03-25T00:00:00"/>
    <s v="9989013245"/>
    <s v="PIZZERIA PAPPO"/>
    <n v="1"/>
    <x v="3"/>
  </r>
  <r>
    <d v="2025-03-25T00:00:00"/>
    <s v="9989013246"/>
    <s v="THE NEW PARKWAY"/>
    <n v="2"/>
    <x v="8"/>
  </r>
  <r>
    <d v="2025-03-25T00:00:00"/>
    <s v="9989013246"/>
    <s v="THE NEW PARKWAY"/>
    <n v="2"/>
    <x v="5"/>
  </r>
  <r>
    <d v="2025-03-25T00:00:00"/>
    <s v="9989013247"/>
    <s v="NEW PARISH BAR"/>
    <n v="2"/>
    <x v="21"/>
  </r>
  <r>
    <d v="2025-03-25T00:00:00"/>
    <s v="9989013247"/>
    <s v="NEW PARISH BAR"/>
    <n v="2"/>
    <x v="18"/>
  </r>
  <r>
    <d v="2025-03-25T00:00:00"/>
    <s v="9989013247"/>
    <s v="NEW PARISH BAR"/>
    <n v="2"/>
    <x v="15"/>
  </r>
  <r>
    <d v="2025-03-25T00:00:00"/>
    <s v="9989013247"/>
    <s v="NEW PARISH BAR"/>
    <n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9482B-EBE3-41D0-B0FB-A015D2923E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numFmtId="171" showAll="0"/>
    <pivotField showAll="0"/>
    <pivotField showAll="0"/>
    <pivotField dataField="1" showAll="0"/>
    <pivotField axis="axisRow" showAll="0">
      <items count="41">
        <item x="11"/>
        <item x="1"/>
        <item x="3"/>
        <item x="4"/>
        <item x="20"/>
        <item x="2"/>
        <item h="1" x="0"/>
        <item h="1" x="15"/>
        <item h="1" x="18"/>
        <item h="1" x="6"/>
        <item h="1" x="25"/>
        <item h="1" x="14"/>
        <item h="1" x="30"/>
        <item h="1" x="21"/>
        <item h="1" x="28"/>
        <item h="1" x="22"/>
        <item h="1" x="7"/>
        <item h="1" x="24"/>
        <item h="1" x="37"/>
        <item h="1" x="8"/>
        <item h="1" x="19"/>
        <item h="1" x="12"/>
        <item h="1" x="5"/>
        <item h="1" x="10"/>
        <item h="1" x="9"/>
        <item h="1" x="17"/>
        <item h="1" x="16"/>
        <item h="1" x="29"/>
        <item h="1" x="34"/>
        <item h="1" x="32"/>
        <item h="1" x="33"/>
        <item h="1" x="35"/>
        <item h="1" x="31"/>
        <item h="1" x="23"/>
        <item h="1" x="26"/>
        <item h="1" x="13"/>
        <item h="1" x="27"/>
        <item h="1" x="39"/>
        <item h="1" x="38"/>
        <item h="1" x="36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6A612-FB72-461F-A94A-C595761A1B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numFmtId="171" showAll="0"/>
    <pivotField showAll="0"/>
    <pivotField showAll="0"/>
    <pivotField dataField="1" showAll="0"/>
    <pivotField axis="axisRow" showAll="0">
      <items count="41">
        <item x="11"/>
        <item x="1"/>
        <item x="3"/>
        <item x="4"/>
        <item x="20"/>
        <item x="2"/>
        <item h="1" x="0"/>
        <item h="1" x="15"/>
        <item h="1" x="18"/>
        <item h="1" x="6"/>
        <item h="1" x="25"/>
        <item h="1" x="14"/>
        <item h="1" x="30"/>
        <item h="1" x="21"/>
        <item h="1" x="28"/>
        <item h="1" x="22"/>
        <item h="1" x="7"/>
        <item h="1" x="24"/>
        <item h="1" x="37"/>
        <item h="1" x="8"/>
        <item h="1" x="19"/>
        <item h="1" x="12"/>
        <item h="1" x="5"/>
        <item h="1" x="10"/>
        <item h="1" x="9"/>
        <item h="1" x="17"/>
        <item h="1" x="16"/>
        <item h="1" x="29"/>
        <item h="1" x="34"/>
        <item h="1" x="32"/>
        <item h="1" x="33"/>
        <item h="1" x="35"/>
        <item h="1" x="31"/>
        <item h="1" x="23"/>
        <item h="1" x="26"/>
        <item h="1" x="13"/>
        <item h="1" x="27"/>
        <item h="1" x="39"/>
        <item h="1" x="38"/>
        <item h="1" x="36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paktech-opi.com/" TargetMode="External"/><Relationship Id="rId1" Type="http://schemas.openxmlformats.org/officeDocument/2006/relationships/hyperlink" Target="http://www.paktech-opi.com/term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jason@quantumcanning.com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jason@quantumcanning.com" TargetMode="External"/><Relationship Id="rId1" Type="http://schemas.openxmlformats.org/officeDocument/2006/relationships/pivotTable" Target="../pivotTables/pivotTable2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admin.servicefusion.com/companyInventory" TargetMode="External"/><Relationship Id="rId1" Type="http://schemas.openxmlformats.org/officeDocument/2006/relationships/hyperlink" Target="https://admin.servicefusion.com/companyInventory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memberservices@resortc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910C-5348-4803-B9F5-9061551E69CD}">
  <dimension ref="A2:J19"/>
  <sheetViews>
    <sheetView workbookViewId="0">
      <selection activeCell="B1" sqref="B1"/>
    </sheetView>
  </sheetViews>
  <sheetFormatPr defaultRowHeight="15.6" x14ac:dyDescent="0.3"/>
  <cols>
    <col min="1" max="1" width="14.5" customWidth="1"/>
    <col min="2" max="2" width="12.69921875" bestFit="1" customWidth="1"/>
    <col min="5" max="5" width="13.59765625" customWidth="1"/>
  </cols>
  <sheetData>
    <row r="2" spans="1:10" x14ac:dyDescent="0.3">
      <c r="A2" t="s">
        <v>629</v>
      </c>
      <c r="B2">
        <v>1200</v>
      </c>
      <c r="E2" t="s">
        <v>629</v>
      </c>
      <c r="F2">
        <v>2000</v>
      </c>
      <c r="I2" t="s">
        <v>629</v>
      </c>
      <c r="J2">
        <v>3000</v>
      </c>
    </row>
    <row r="3" spans="1:10" x14ac:dyDescent="0.3">
      <c r="A3" t="s">
        <v>227</v>
      </c>
      <c r="B3">
        <f>B2*128</f>
        <v>153600</v>
      </c>
      <c r="E3" t="s">
        <v>227</v>
      </c>
      <c r="F3">
        <f>F2*128</f>
        <v>256000</v>
      </c>
      <c r="I3" t="s">
        <v>227</v>
      </c>
      <c r="J3">
        <f>J2*128</f>
        <v>384000</v>
      </c>
    </row>
    <row r="4" spans="1:10" x14ac:dyDescent="0.3">
      <c r="A4" s="37" t="s">
        <v>630</v>
      </c>
      <c r="B4" s="37">
        <f>B3/12</f>
        <v>12800</v>
      </c>
      <c r="E4" s="37" t="s">
        <v>630</v>
      </c>
      <c r="F4" s="37">
        <f>F3/12</f>
        <v>21333.333333333332</v>
      </c>
      <c r="I4" s="37" t="s">
        <v>630</v>
      </c>
      <c r="J4" s="37">
        <f>J3/12</f>
        <v>32000</v>
      </c>
    </row>
    <row r="5" spans="1:10" x14ac:dyDescent="0.3">
      <c r="A5" t="s">
        <v>222</v>
      </c>
      <c r="B5" s="21">
        <f>B4/24</f>
        <v>533.33333333333337</v>
      </c>
      <c r="E5" t="s">
        <v>222</v>
      </c>
      <c r="F5" s="21">
        <f>F4/24</f>
        <v>888.8888888888888</v>
      </c>
      <c r="I5" t="s">
        <v>222</v>
      </c>
      <c r="J5" s="21">
        <f>J4/24</f>
        <v>1333.3333333333333</v>
      </c>
    </row>
    <row r="6" spans="1:10" x14ac:dyDescent="0.3">
      <c r="A6" t="s">
        <v>627</v>
      </c>
      <c r="B6" s="45">
        <v>0.93</v>
      </c>
      <c r="E6" t="s">
        <v>627</v>
      </c>
      <c r="F6" s="45">
        <v>0.93</v>
      </c>
      <c r="I6" t="s">
        <v>627</v>
      </c>
      <c r="J6" s="45">
        <v>0.93</v>
      </c>
    </row>
    <row r="7" spans="1:10" x14ac:dyDescent="0.3">
      <c r="A7" t="s">
        <v>639</v>
      </c>
      <c r="B7" s="153">
        <f>B5*B6</f>
        <v>496.00000000000006</v>
      </c>
      <c r="C7" s="153"/>
      <c r="D7" s="153"/>
      <c r="E7" s="153" t="s">
        <v>640</v>
      </c>
      <c r="F7" s="153">
        <f>F5*F6</f>
        <v>826.66666666666663</v>
      </c>
      <c r="G7" s="153"/>
      <c r="H7" s="153"/>
      <c r="I7" s="153" t="s">
        <v>640</v>
      </c>
      <c r="J7" s="153">
        <f>J5*J6</f>
        <v>1240</v>
      </c>
    </row>
    <row r="8" spans="1:10" x14ac:dyDescent="0.3">
      <c r="A8" t="s">
        <v>216</v>
      </c>
      <c r="B8" s="153">
        <f>B5/91</f>
        <v>5.8608058608058613</v>
      </c>
      <c r="E8" s="68" t="s">
        <v>216</v>
      </c>
      <c r="F8" s="174">
        <f>F7/91</f>
        <v>9.0842490842490839</v>
      </c>
      <c r="I8" t="s">
        <v>216</v>
      </c>
      <c r="J8" s="153">
        <f>J7/91</f>
        <v>13.626373626373626</v>
      </c>
    </row>
    <row r="10" spans="1:10" x14ac:dyDescent="0.3">
      <c r="E10" t="s">
        <v>632</v>
      </c>
    </row>
    <row r="13" spans="1:10" x14ac:dyDescent="0.3">
      <c r="F13" t="s">
        <v>633</v>
      </c>
    </row>
    <row r="15" spans="1:10" x14ac:dyDescent="0.3">
      <c r="A15" t="s">
        <v>638</v>
      </c>
    </row>
    <row r="19" spans="2:4" x14ac:dyDescent="0.3">
      <c r="B19" t="s">
        <v>637</v>
      </c>
      <c r="C19" s="29">
        <v>250.65</v>
      </c>
      <c r="D19" t="s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747F-8D7B-4BA1-928F-67FFDE585ED4}">
  <dimension ref="A1:Q18"/>
  <sheetViews>
    <sheetView topLeftCell="E1" workbookViewId="0">
      <selection activeCell="L14" sqref="L14"/>
    </sheetView>
  </sheetViews>
  <sheetFormatPr defaultColWidth="8.69921875" defaultRowHeight="13.2" x14ac:dyDescent="0.3"/>
  <cols>
    <col min="1" max="1" width="9.3984375" style="318" customWidth="1"/>
    <col min="2" max="2" width="1" style="318" customWidth="1"/>
    <col min="3" max="3" width="16.69921875" style="318" customWidth="1"/>
    <col min="4" max="4" width="34.59765625" style="318" customWidth="1"/>
    <col min="5" max="5" width="2" style="318" customWidth="1"/>
    <col min="6" max="6" width="28.19921875" style="318" customWidth="1"/>
    <col min="7" max="7" width="26.19921875" style="318" customWidth="1"/>
    <col min="8" max="8" width="9.3984375" style="318" customWidth="1"/>
    <col min="9" max="9" width="9.19921875" style="318" bestFit="1" customWidth="1"/>
    <col min="10" max="10" width="11.19921875" style="318" bestFit="1" customWidth="1"/>
    <col min="11" max="11" width="11.69921875" style="318" bestFit="1" customWidth="1"/>
    <col min="12" max="12" width="11.09765625" style="318" bestFit="1" customWidth="1"/>
    <col min="13" max="13" width="11.8984375" style="318" bestFit="1" customWidth="1"/>
    <col min="14" max="14" width="8.69921875" style="318"/>
    <col min="15" max="15" width="21.8984375" style="318" bestFit="1" customWidth="1"/>
    <col min="16" max="17" width="9.19921875" style="318" bestFit="1" customWidth="1"/>
    <col min="18" max="16384" width="8.69921875" style="318"/>
  </cols>
  <sheetData>
    <row r="1" spans="1:17" ht="10.95" customHeight="1" x14ac:dyDescent="0.25">
      <c r="A1" s="361"/>
      <c r="B1" s="361"/>
      <c r="C1" s="361"/>
      <c r="D1" s="361"/>
      <c r="E1" s="361"/>
      <c r="F1" s="361"/>
      <c r="G1" s="361"/>
      <c r="H1" s="361"/>
    </row>
    <row r="2" spans="1:17" ht="39.450000000000003" customHeight="1" x14ac:dyDescent="0.3">
      <c r="A2" s="362" t="s">
        <v>614</v>
      </c>
      <c r="B2" s="362"/>
      <c r="C2" s="362"/>
      <c r="D2" s="362"/>
      <c r="E2" s="362"/>
      <c r="F2" s="362"/>
      <c r="G2" s="362"/>
      <c r="H2" s="362"/>
    </row>
    <row r="3" spans="1:17" ht="22.95" customHeight="1" x14ac:dyDescent="0.3">
      <c r="A3" s="320"/>
      <c r="B3" s="320"/>
      <c r="C3" s="328" t="s">
        <v>613</v>
      </c>
      <c r="D3" s="331" t="s">
        <v>612</v>
      </c>
      <c r="E3" s="320"/>
      <c r="F3" s="328" t="s">
        <v>611</v>
      </c>
      <c r="G3" s="330" t="s">
        <v>610</v>
      </c>
      <c r="H3" s="320"/>
    </row>
    <row r="4" spans="1:17" ht="10.95" customHeight="1" x14ac:dyDescent="0.25">
      <c r="A4" s="329"/>
      <c r="B4" s="329"/>
      <c r="C4" s="329"/>
      <c r="D4" s="329"/>
      <c r="E4" s="329"/>
      <c r="F4" s="329"/>
      <c r="G4" s="329"/>
      <c r="H4" s="329"/>
      <c r="L4" s="336"/>
    </row>
    <row r="5" spans="1:17" ht="22.5" customHeight="1" x14ac:dyDescent="0.3">
      <c r="A5" s="320"/>
      <c r="B5" s="320"/>
      <c r="C5" s="328" t="s">
        <v>609</v>
      </c>
      <c r="D5" s="327" t="s">
        <v>608</v>
      </c>
      <c r="E5" s="320"/>
      <c r="F5" s="363" t="s">
        <v>607</v>
      </c>
      <c r="G5" s="364"/>
      <c r="H5" s="338" t="s">
        <v>615</v>
      </c>
      <c r="I5" s="339" t="s">
        <v>616</v>
      </c>
      <c r="J5" s="339" t="s">
        <v>617</v>
      </c>
      <c r="K5" s="339" t="s">
        <v>618</v>
      </c>
      <c r="L5" s="340" t="s">
        <v>619</v>
      </c>
      <c r="M5" s="340" t="s">
        <v>620</v>
      </c>
      <c r="N5" s="339"/>
      <c r="O5" s="339" t="s">
        <v>622</v>
      </c>
      <c r="P5" s="339" t="s">
        <v>621</v>
      </c>
      <c r="Q5" s="336"/>
    </row>
    <row r="6" spans="1:17" ht="22.2" customHeight="1" x14ac:dyDescent="0.3">
      <c r="A6" s="320"/>
      <c r="B6" s="320"/>
      <c r="C6" s="325" t="s">
        <v>606</v>
      </c>
      <c r="D6" s="323">
        <v>102.9</v>
      </c>
      <c r="E6" s="320"/>
      <c r="F6" s="322" t="s">
        <v>605</v>
      </c>
      <c r="G6" s="326">
        <v>36160</v>
      </c>
      <c r="H6" s="332">
        <f>D12</f>
        <v>137.1</v>
      </c>
      <c r="I6" s="335">
        <v>1000</v>
      </c>
      <c r="J6" s="333">
        <f>H6/I6</f>
        <v>0.1371</v>
      </c>
      <c r="K6" s="335">
        <v>8</v>
      </c>
      <c r="L6" s="337">
        <f>K6*J6</f>
        <v>1.0968</v>
      </c>
      <c r="M6" s="337">
        <f>G6/1000*H6</f>
        <v>4957.5359999999991</v>
      </c>
      <c r="O6" s="318">
        <f>G6/8</f>
        <v>4520</v>
      </c>
      <c r="P6" s="334">
        <f>O6/90</f>
        <v>50.222222222222221</v>
      </c>
      <c r="Q6" s="333">
        <f>O6*L13</f>
        <v>5858.4159999999993</v>
      </c>
    </row>
    <row r="7" spans="1:17" ht="22.95" customHeight="1" x14ac:dyDescent="0.3">
      <c r="A7" s="320"/>
      <c r="B7" s="320"/>
      <c r="C7" s="325" t="s">
        <v>604</v>
      </c>
      <c r="D7" s="323">
        <v>104.6</v>
      </c>
      <c r="E7" s="320"/>
      <c r="F7" s="322" t="s">
        <v>603</v>
      </c>
      <c r="G7" s="324">
        <v>904</v>
      </c>
      <c r="H7" s="320"/>
      <c r="K7" s="318" t="s">
        <v>163</v>
      </c>
      <c r="L7" s="342">
        <f>250/O6</f>
        <v>5.5309734513274339E-2</v>
      </c>
    </row>
    <row r="8" spans="1:17" ht="22.2" customHeight="1" x14ac:dyDescent="0.3">
      <c r="A8" s="320"/>
      <c r="B8" s="320"/>
      <c r="C8" s="325" t="s">
        <v>602</v>
      </c>
      <c r="D8" s="323">
        <v>107.5</v>
      </c>
      <c r="E8" s="320"/>
      <c r="F8" s="322" t="s">
        <v>601</v>
      </c>
      <c r="G8" s="324">
        <v>40</v>
      </c>
      <c r="H8" s="320"/>
      <c r="K8" s="318" t="s">
        <v>150</v>
      </c>
      <c r="L8" s="341">
        <f>SUM(L6:L7)</f>
        <v>1.1521097345132743</v>
      </c>
    </row>
    <row r="9" spans="1:17" ht="22.95" customHeight="1" x14ac:dyDescent="0.3">
      <c r="A9" s="320"/>
      <c r="B9" s="320"/>
      <c r="C9" s="324">
        <v>4</v>
      </c>
      <c r="D9" s="323">
        <v>110.8</v>
      </c>
      <c r="E9" s="320"/>
      <c r="F9" s="320"/>
      <c r="G9" s="320"/>
      <c r="H9" s="320"/>
    </row>
    <row r="10" spans="1:17" ht="22.2" customHeight="1" x14ac:dyDescent="0.3">
      <c r="A10" s="320"/>
      <c r="B10" s="320"/>
      <c r="C10" s="324">
        <v>3</v>
      </c>
      <c r="D10" s="323">
        <v>117.1</v>
      </c>
      <c r="E10" s="320"/>
      <c r="F10" s="363" t="s">
        <v>600</v>
      </c>
      <c r="G10" s="364"/>
      <c r="H10" s="320"/>
    </row>
    <row r="11" spans="1:17" ht="22.95" customHeight="1" x14ac:dyDescent="0.3">
      <c r="A11" s="320"/>
      <c r="B11" s="320"/>
      <c r="C11" s="324">
        <v>2</v>
      </c>
      <c r="D11" s="323">
        <v>125.5</v>
      </c>
      <c r="E11" s="320"/>
      <c r="F11" s="322" t="s">
        <v>599</v>
      </c>
      <c r="G11" s="321" t="s">
        <v>598</v>
      </c>
      <c r="H11" s="320">
        <v>18</v>
      </c>
      <c r="I11" s="318">
        <v>1000</v>
      </c>
      <c r="J11" s="333">
        <f>H11/I11</f>
        <v>1.7999999999999999E-2</v>
      </c>
      <c r="K11" s="335">
        <v>8</v>
      </c>
      <c r="L11" s="337">
        <f>K11*J11</f>
        <v>0.14399999999999999</v>
      </c>
      <c r="N11" s="318" t="s">
        <v>625</v>
      </c>
      <c r="P11" s="334">
        <f>O11/90</f>
        <v>0</v>
      </c>
    </row>
    <row r="12" spans="1:17" ht="22.5" customHeight="1" x14ac:dyDescent="0.3">
      <c r="A12" s="320"/>
      <c r="B12" s="320"/>
      <c r="C12" s="324">
        <v>1</v>
      </c>
      <c r="D12" s="323">
        <v>137.1</v>
      </c>
      <c r="E12" s="320"/>
      <c r="F12" s="322" t="s">
        <v>597</v>
      </c>
      <c r="G12" s="321" t="s">
        <v>596</v>
      </c>
      <c r="H12" s="320">
        <v>25</v>
      </c>
      <c r="I12" s="318">
        <v>1000</v>
      </c>
      <c r="J12" s="333">
        <f>H12/I12</f>
        <v>2.5000000000000001E-2</v>
      </c>
      <c r="K12" s="335">
        <v>8</v>
      </c>
      <c r="L12" s="349"/>
      <c r="N12" s="318" t="s">
        <v>624</v>
      </c>
      <c r="P12" s="334"/>
    </row>
    <row r="13" spans="1:17" ht="57" customHeight="1" x14ac:dyDescent="0.3">
      <c r="A13" s="365" t="s">
        <v>595</v>
      </c>
      <c r="B13" s="365"/>
      <c r="C13" s="365"/>
      <c r="D13" s="365"/>
      <c r="E13" s="365"/>
      <c r="F13" s="365"/>
      <c r="G13" s="365"/>
      <c r="H13" s="365"/>
      <c r="K13" s="318" t="s">
        <v>623</v>
      </c>
      <c r="L13" s="343">
        <f>L12+L11+L8</f>
        <v>1.2961097345132742</v>
      </c>
      <c r="P13" s="318" t="s">
        <v>628</v>
      </c>
    </row>
    <row r="14" spans="1:17" ht="104.7" customHeight="1" x14ac:dyDescent="0.3">
      <c r="A14" s="319"/>
      <c r="B14" s="368" t="s">
        <v>594</v>
      </c>
      <c r="C14" s="368"/>
      <c r="D14" s="368"/>
      <c r="E14" s="368"/>
      <c r="F14" s="369" t="s">
        <v>593</v>
      </c>
      <c r="G14" s="369"/>
      <c r="H14" s="369"/>
    </row>
    <row r="15" spans="1:17" ht="46.2" customHeight="1" x14ac:dyDescent="0.3">
      <c r="A15" s="368" t="s">
        <v>592</v>
      </c>
      <c r="B15" s="368"/>
      <c r="C15" s="368"/>
      <c r="D15" s="368"/>
      <c r="E15" s="368"/>
      <c r="F15" s="368"/>
      <c r="G15" s="368"/>
      <c r="H15" s="368"/>
    </row>
    <row r="16" spans="1:17" ht="205.2" customHeight="1" x14ac:dyDescent="0.3">
      <c r="A16" s="365" t="s">
        <v>591</v>
      </c>
      <c r="B16" s="365"/>
      <c r="C16" s="365"/>
      <c r="D16" s="365"/>
      <c r="E16" s="370" t="s">
        <v>590</v>
      </c>
      <c r="F16" s="370"/>
      <c r="G16" s="370"/>
      <c r="H16" s="370"/>
    </row>
    <row r="17" spans="1:8" ht="33" customHeight="1" x14ac:dyDescent="0.3">
      <c r="A17" s="366" t="s">
        <v>589</v>
      </c>
      <c r="B17" s="366"/>
      <c r="C17" s="366"/>
      <c r="D17" s="366"/>
      <c r="E17" s="366"/>
      <c r="F17" s="366"/>
      <c r="G17" s="366"/>
      <c r="H17" s="366"/>
    </row>
    <row r="18" spans="1:8" ht="54" customHeight="1" x14ac:dyDescent="0.3">
      <c r="A18" s="367"/>
      <c r="B18" s="367"/>
      <c r="C18" s="367"/>
      <c r="D18" s="367"/>
      <c r="E18" s="367"/>
      <c r="F18" s="367"/>
      <c r="G18" s="367"/>
      <c r="H18" s="367"/>
    </row>
  </sheetData>
  <mergeCells count="12">
    <mergeCell ref="A17:H17"/>
    <mergeCell ref="A18:H18"/>
    <mergeCell ref="B14:E14"/>
    <mergeCell ref="F14:H14"/>
    <mergeCell ref="A15:H15"/>
    <mergeCell ref="A16:D16"/>
    <mergeCell ref="E16:H16"/>
    <mergeCell ref="A1:H1"/>
    <mergeCell ref="A2:H2"/>
    <mergeCell ref="F5:G5"/>
    <mergeCell ref="F10:G10"/>
    <mergeCell ref="A13:H13"/>
  </mergeCells>
  <hyperlinks>
    <hyperlink ref="E16" r:id="rId1" display="http://www.paktech-opi.com/terms" xr:uid="{F102BF92-45DB-449E-A795-37573A021DFD}"/>
    <hyperlink ref="A17" r:id="rId2" display="http://www.paktech-opi.com/" xr:uid="{0286944D-7EB8-49FA-8699-972D57152072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5D6E-ECAF-4E50-9565-A420A41634E8}">
  <dimension ref="C16:I28"/>
  <sheetViews>
    <sheetView topLeftCell="A4" workbookViewId="0">
      <selection activeCell="I22" sqref="I22"/>
    </sheetView>
  </sheetViews>
  <sheetFormatPr defaultRowHeight="15.6" x14ac:dyDescent="0.3"/>
  <cols>
    <col min="3" max="3" width="32.5" customWidth="1"/>
    <col min="9" max="9" width="17.8984375" customWidth="1"/>
  </cols>
  <sheetData>
    <row r="16" spans="3:9" x14ac:dyDescent="0.3">
      <c r="C16" t="s">
        <v>692</v>
      </c>
      <c r="D16">
        <v>408</v>
      </c>
      <c r="I16" s="387"/>
    </row>
    <row r="17" spans="3:9" x14ac:dyDescent="0.3">
      <c r="C17" t="s">
        <v>693</v>
      </c>
      <c r="D17">
        <v>432</v>
      </c>
    </row>
    <row r="18" spans="3:9" x14ac:dyDescent="0.3">
      <c r="C18" t="s">
        <v>694</v>
      </c>
      <c r="D18">
        <v>423</v>
      </c>
    </row>
    <row r="19" spans="3:9" x14ac:dyDescent="0.3">
      <c r="C19" s="37" t="s">
        <v>148</v>
      </c>
      <c r="D19" s="37">
        <v>602</v>
      </c>
      <c r="I19" s="352"/>
    </row>
    <row r="20" spans="3:9" ht="28.2" x14ac:dyDescent="0.3">
      <c r="C20" t="s">
        <v>1</v>
      </c>
      <c r="D20">
        <f>SUM(D16:D19)</f>
        <v>1865</v>
      </c>
      <c r="E20">
        <f>I21/D20</f>
        <v>0</v>
      </c>
      <c r="I20" s="388"/>
    </row>
    <row r="21" spans="3:9" x14ac:dyDescent="0.3">
      <c r="I21" s="352"/>
    </row>
    <row r="22" spans="3:9" x14ac:dyDescent="0.3">
      <c r="C22" t="s">
        <v>695</v>
      </c>
      <c r="D22">
        <v>57828.66</v>
      </c>
    </row>
    <row r="23" spans="3:9" x14ac:dyDescent="0.3">
      <c r="C23" t="s">
        <v>696</v>
      </c>
      <c r="D23">
        <v>5997.6</v>
      </c>
    </row>
    <row r="24" spans="3:9" x14ac:dyDescent="0.3">
      <c r="C24" t="s">
        <v>697</v>
      </c>
      <c r="D24">
        <v>2195</v>
      </c>
    </row>
    <row r="25" spans="3:9" x14ac:dyDescent="0.3">
      <c r="C25" t="s">
        <v>698</v>
      </c>
      <c r="D25">
        <v>-20460</v>
      </c>
    </row>
    <row r="26" spans="3:9" x14ac:dyDescent="0.3">
      <c r="D26">
        <f>SUM(D22:D25)</f>
        <v>45561.260000000009</v>
      </c>
    </row>
    <row r="28" spans="3:9" x14ac:dyDescent="0.3">
      <c r="D28">
        <f>D26/D20</f>
        <v>24.429630026809658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D15F-16EB-419E-8D12-447E4E315A4C}">
  <dimension ref="A1:Q62"/>
  <sheetViews>
    <sheetView tabSelected="1" topLeftCell="D46" zoomScale="130" zoomScaleNormal="130" workbookViewId="0">
      <selection activeCell="K62" sqref="K62"/>
    </sheetView>
  </sheetViews>
  <sheetFormatPr defaultColWidth="11.19921875" defaultRowHeight="15.6" outlineLevelRow="1" x14ac:dyDescent="0.3"/>
  <cols>
    <col min="1" max="1" width="15.19921875" style="104" customWidth="1"/>
    <col min="2" max="2" width="14.3984375" style="104" customWidth="1"/>
    <col min="3" max="3" width="18.59765625" style="104" customWidth="1"/>
    <col min="4" max="4" width="29.8984375" style="104" customWidth="1"/>
    <col min="5" max="5" width="62.5" style="104" hidden="1" customWidth="1"/>
    <col min="6" max="6" width="15.19921875" style="104" hidden="1" customWidth="1"/>
    <col min="7" max="7" width="20.3984375" style="104" hidden="1" customWidth="1"/>
    <col min="8" max="8" width="16.09765625" style="104" customWidth="1"/>
    <col min="9" max="9" width="19.59765625" style="104" customWidth="1"/>
    <col min="13" max="13" width="14.5" customWidth="1"/>
  </cols>
  <sheetData>
    <row r="1" spans="1:10" x14ac:dyDescent="0.3">
      <c r="A1" s="116" t="s">
        <v>505</v>
      </c>
      <c r="B1" s="116" t="s">
        <v>199</v>
      </c>
      <c r="C1" s="116" t="s">
        <v>135</v>
      </c>
      <c r="D1" s="116" t="s">
        <v>134</v>
      </c>
      <c r="E1" s="116" t="s">
        <v>133</v>
      </c>
      <c r="F1" s="116" t="s">
        <v>198</v>
      </c>
      <c r="G1" s="116" t="s">
        <v>504</v>
      </c>
      <c r="H1" s="116" t="s">
        <v>130</v>
      </c>
      <c r="I1" s="116" t="s">
        <v>503</v>
      </c>
    </row>
    <row r="2" spans="1:10" outlineLevel="1" x14ac:dyDescent="0.3">
      <c r="A2" s="108" t="s">
        <v>577</v>
      </c>
      <c r="B2" s="108" t="s">
        <v>574</v>
      </c>
      <c r="C2" s="108" t="s">
        <v>576</v>
      </c>
      <c r="D2" s="108" t="s">
        <v>184</v>
      </c>
      <c r="E2" s="108" t="s">
        <v>184</v>
      </c>
      <c r="F2" s="108" t="s">
        <v>93</v>
      </c>
      <c r="G2" s="108" t="s">
        <v>184</v>
      </c>
      <c r="H2" s="107">
        <v>-202779.67</v>
      </c>
      <c r="I2" s="107">
        <v>13081.880000000005</v>
      </c>
      <c r="J2" t="s">
        <v>676</v>
      </c>
    </row>
    <row r="3" spans="1:10" outlineLevel="1" x14ac:dyDescent="0.3">
      <c r="A3" s="108"/>
      <c r="B3" s="108"/>
      <c r="C3" s="108"/>
      <c r="D3" s="108" t="s">
        <v>677</v>
      </c>
      <c r="E3" s="108"/>
      <c r="F3" s="108"/>
      <c r="G3" s="108"/>
      <c r="H3" s="107"/>
      <c r="I3" s="110">
        <f>(1700/(8133+4346+1700))*I2*-1</f>
        <v>-1568.4601170745475</v>
      </c>
      <c r="J3" s="310" t="s">
        <v>679</v>
      </c>
    </row>
    <row r="4" spans="1:10" outlineLevel="1" x14ac:dyDescent="0.3">
      <c r="A4" s="108"/>
      <c r="B4" s="108"/>
      <c r="C4" s="108"/>
      <c r="D4" s="108"/>
      <c r="E4" s="108"/>
      <c r="F4" s="108"/>
      <c r="G4" s="108"/>
      <c r="H4" s="107"/>
      <c r="I4" s="107">
        <f>SUM(I2:I3)</f>
        <v>11513.419882925456</v>
      </c>
    </row>
    <row r="5" spans="1:10" outlineLevel="1" x14ac:dyDescent="0.3">
      <c r="A5" s="108" t="s">
        <v>575</v>
      </c>
      <c r="B5" s="108" t="s">
        <v>574</v>
      </c>
      <c r="C5" s="108" t="s">
        <v>573</v>
      </c>
      <c r="D5" s="108" t="s">
        <v>184</v>
      </c>
      <c r="E5" s="108" t="s">
        <v>572</v>
      </c>
      <c r="F5" s="108" t="s">
        <v>93</v>
      </c>
      <c r="G5" s="108" t="s">
        <v>184</v>
      </c>
      <c r="H5" s="107">
        <v>-5997.6</v>
      </c>
      <c r="I5" s="107">
        <v>13081.880000000003</v>
      </c>
      <c r="J5" t="s">
        <v>657</v>
      </c>
    </row>
    <row r="6" spans="1:10" outlineLevel="1" x14ac:dyDescent="0.3">
      <c r="A6" s="108"/>
      <c r="B6" s="108"/>
      <c r="C6" s="108"/>
      <c r="D6" s="355" t="s">
        <v>678</v>
      </c>
      <c r="E6" s="108"/>
      <c r="F6" s="108"/>
      <c r="G6" s="108"/>
      <c r="H6" s="107">
        <f>(4346/(8133+4346+1700))*I2</f>
        <v>4009.7221581211666</v>
      </c>
      <c r="I6" s="107"/>
      <c r="J6" s="310" t="s">
        <v>679</v>
      </c>
    </row>
    <row r="7" spans="1:10" outlineLevel="1" x14ac:dyDescent="0.3">
      <c r="A7" s="108" t="s">
        <v>656</v>
      </c>
      <c r="B7" s="108" t="s">
        <v>459</v>
      </c>
      <c r="C7" s="108" t="s">
        <v>184</v>
      </c>
      <c r="D7" s="108" t="s">
        <v>262</v>
      </c>
      <c r="E7" s="108" t="s">
        <v>655</v>
      </c>
      <c r="F7" s="108" t="s">
        <v>93</v>
      </c>
      <c r="G7" s="108" t="s">
        <v>92</v>
      </c>
      <c r="H7" s="107">
        <v>-950</v>
      </c>
      <c r="I7" s="107">
        <v>12131.880000000003</v>
      </c>
    </row>
    <row r="8" spans="1:10" outlineLevel="1" x14ac:dyDescent="0.3">
      <c r="A8" s="108" t="s">
        <v>654</v>
      </c>
      <c r="B8" s="108" t="s">
        <v>97</v>
      </c>
      <c r="C8" s="108" t="s">
        <v>653</v>
      </c>
      <c r="D8" s="108" t="s">
        <v>260</v>
      </c>
      <c r="E8" s="108" t="s">
        <v>150</v>
      </c>
      <c r="F8" s="108" t="s">
        <v>93</v>
      </c>
      <c r="G8" s="108" t="s">
        <v>92</v>
      </c>
      <c r="H8" s="107">
        <v>1785</v>
      </c>
      <c r="I8" s="107">
        <v>13916.880000000003</v>
      </c>
    </row>
    <row r="9" spans="1:10" outlineLevel="1" x14ac:dyDescent="0.3">
      <c r="A9" s="108" t="s">
        <v>651</v>
      </c>
      <c r="B9" s="108" t="s">
        <v>97</v>
      </c>
      <c r="C9" s="108" t="s">
        <v>652</v>
      </c>
      <c r="D9" s="108" t="s">
        <v>258</v>
      </c>
      <c r="E9" s="108" t="s">
        <v>184</v>
      </c>
      <c r="F9" s="108" t="s">
        <v>93</v>
      </c>
      <c r="G9" s="108" t="s">
        <v>92</v>
      </c>
      <c r="H9" s="107">
        <v>27900</v>
      </c>
      <c r="I9" s="107">
        <v>41816.880000000005</v>
      </c>
    </row>
    <row r="10" spans="1:10" outlineLevel="1" x14ac:dyDescent="0.3">
      <c r="A10" s="108" t="s">
        <v>651</v>
      </c>
      <c r="B10" s="108" t="s">
        <v>97</v>
      </c>
      <c r="C10" s="108" t="s">
        <v>650</v>
      </c>
      <c r="D10" s="108" t="s">
        <v>258</v>
      </c>
      <c r="E10" s="108" t="s">
        <v>184</v>
      </c>
      <c r="F10" s="108" t="s">
        <v>93</v>
      </c>
      <c r="G10" s="108" t="s">
        <v>92</v>
      </c>
      <c r="H10" s="107">
        <v>13950</v>
      </c>
      <c r="I10" s="107">
        <v>55766.880000000005</v>
      </c>
    </row>
    <row r="11" spans="1:10" outlineLevel="1" x14ac:dyDescent="0.3">
      <c r="A11" s="108" t="s">
        <v>649</v>
      </c>
      <c r="B11" s="108" t="s">
        <v>97</v>
      </c>
      <c r="C11" s="108" t="s">
        <v>648</v>
      </c>
      <c r="D11" s="108" t="s">
        <v>260</v>
      </c>
      <c r="E11" s="108" t="s">
        <v>150</v>
      </c>
      <c r="F11" s="108" t="s">
        <v>93</v>
      </c>
      <c r="G11" s="108" t="s">
        <v>92</v>
      </c>
      <c r="H11" s="107">
        <v>2600.0100000000002</v>
      </c>
      <c r="I11" s="107">
        <v>58366.890000000007</v>
      </c>
    </row>
    <row r="12" spans="1:10" outlineLevel="1" x14ac:dyDescent="0.3">
      <c r="A12" s="108" t="s">
        <v>647</v>
      </c>
      <c r="B12" s="108" t="s">
        <v>97</v>
      </c>
      <c r="C12" s="108" t="s">
        <v>646</v>
      </c>
      <c r="D12" s="108" t="s">
        <v>260</v>
      </c>
      <c r="E12" s="108" t="s">
        <v>184</v>
      </c>
      <c r="F12" s="108" t="s">
        <v>93</v>
      </c>
      <c r="G12" s="108" t="s">
        <v>92</v>
      </c>
      <c r="H12" s="107">
        <v>2407.71</v>
      </c>
      <c r="I12" s="107">
        <v>60774.600000000013</v>
      </c>
    </row>
    <row r="13" spans="1:10" outlineLevel="1" x14ac:dyDescent="0.3">
      <c r="A13" s="108" t="s">
        <v>647</v>
      </c>
      <c r="B13" s="108" t="s">
        <v>97</v>
      </c>
      <c r="C13" s="108" t="s">
        <v>660</v>
      </c>
      <c r="D13" s="108" t="s">
        <v>113</v>
      </c>
      <c r="E13" s="108" t="s">
        <v>659</v>
      </c>
      <c r="F13" s="108" t="s">
        <v>93</v>
      </c>
      <c r="G13" s="108" t="s">
        <v>92</v>
      </c>
      <c r="H13" s="107">
        <v>1098.1600000000001</v>
      </c>
      <c r="I13" s="107">
        <v>61872.760000000017</v>
      </c>
    </row>
    <row r="14" spans="1:10" outlineLevel="1" x14ac:dyDescent="0.3">
      <c r="A14" s="108" t="s">
        <v>658</v>
      </c>
      <c r="B14" s="108" t="s">
        <v>97</v>
      </c>
      <c r="C14" s="108" t="s">
        <v>184</v>
      </c>
      <c r="D14" s="108" t="s">
        <v>113</v>
      </c>
      <c r="E14" s="108" t="s">
        <v>485</v>
      </c>
      <c r="F14" s="108" t="s">
        <v>93</v>
      </c>
      <c r="G14" s="108" t="s">
        <v>92</v>
      </c>
      <c r="H14" s="107">
        <v>1200</v>
      </c>
      <c r="I14" s="107">
        <v>64915.960000000014</v>
      </c>
    </row>
    <row r="15" spans="1:10" outlineLevel="1" x14ac:dyDescent="0.3">
      <c r="A15" s="108" t="s">
        <v>645</v>
      </c>
      <c r="B15" s="108" t="s">
        <v>97</v>
      </c>
      <c r="C15" s="108" t="s">
        <v>644</v>
      </c>
      <c r="D15" s="108" t="s">
        <v>108</v>
      </c>
      <c r="E15" s="108" t="s">
        <v>150</v>
      </c>
      <c r="F15" s="108" t="s">
        <v>93</v>
      </c>
      <c r="G15" s="108" t="s">
        <v>92</v>
      </c>
      <c r="H15" s="107">
        <v>1925</v>
      </c>
      <c r="I15" s="107">
        <v>66840.960000000006</v>
      </c>
    </row>
    <row r="16" spans="1:10" outlineLevel="1" x14ac:dyDescent="0.3">
      <c r="A16" s="108" t="s">
        <v>643</v>
      </c>
      <c r="B16" s="108" t="s">
        <v>97</v>
      </c>
      <c r="C16" s="108" t="s">
        <v>642</v>
      </c>
      <c r="D16" s="108" t="s">
        <v>258</v>
      </c>
      <c r="E16" s="108" t="s">
        <v>184</v>
      </c>
      <c r="F16" s="108" t="s">
        <v>93</v>
      </c>
      <c r="G16" s="108" t="s">
        <v>92</v>
      </c>
      <c r="H16" s="107">
        <v>9389.7199999999993</v>
      </c>
      <c r="I16" s="107">
        <v>76230.680000000008</v>
      </c>
    </row>
    <row r="17" spans="1:10" outlineLevel="1" x14ac:dyDescent="0.3">
      <c r="A17" s="108" t="s">
        <v>643</v>
      </c>
      <c r="B17" s="108" t="s">
        <v>97</v>
      </c>
      <c r="C17" s="108" t="s">
        <v>641</v>
      </c>
      <c r="D17" s="108" t="s">
        <v>260</v>
      </c>
      <c r="E17" s="108" t="s">
        <v>184</v>
      </c>
      <c r="F17" s="108" t="s">
        <v>93</v>
      </c>
      <c r="G17" s="108" t="s">
        <v>92</v>
      </c>
      <c r="H17" s="107">
        <v>2257.5</v>
      </c>
      <c r="I17" s="107">
        <v>78488.180000000008</v>
      </c>
    </row>
    <row r="18" spans="1:10" outlineLevel="1" x14ac:dyDescent="0.3">
      <c r="A18" s="108" t="s">
        <v>668</v>
      </c>
      <c r="B18" s="108" t="s">
        <v>106</v>
      </c>
      <c r="C18" s="108" t="s">
        <v>667</v>
      </c>
      <c r="D18" s="108" t="s">
        <v>184</v>
      </c>
      <c r="E18" s="108" t="s">
        <v>666</v>
      </c>
      <c r="F18" s="108" t="s">
        <v>93</v>
      </c>
      <c r="G18" s="108" t="s">
        <v>665</v>
      </c>
      <c r="H18" s="107">
        <v>15.3</v>
      </c>
      <c r="I18" s="107">
        <f>I17+H18</f>
        <v>78503.48000000001</v>
      </c>
    </row>
    <row r="19" spans="1:10" outlineLevel="1" x14ac:dyDescent="0.3">
      <c r="A19" s="108" t="s">
        <v>658</v>
      </c>
      <c r="B19" s="108" t="s">
        <v>106</v>
      </c>
      <c r="C19" s="108" t="s">
        <v>184</v>
      </c>
      <c r="D19" s="108" t="s">
        <v>670</v>
      </c>
      <c r="E19" s="108" t="s">
        <v>669</v>
      </c>
      <c r="F19" s="108" t="s">
        <v>93</v>
      </c>
      <c r="G19" s="108" t="s">
        <v>665</v>
      </c>
      <c r="H19" s="107">
        <v>68.290000000000006</v>
      </c>
      <c r="I19" s="107">
        <f t="shared" ref="I19:I23" si="0">I18+H19</f>
        <v>78571.77</v>
      </c>
    </row>
    <row r="20" spans="1:10" outlineLevel="1" x14ac:dyDescent="0.3">
      <c r="A20" s="108" t="s">
        <v>658</v>
      </c>
      <c r="B20" s="108" t="s">
        <v>106</v>
      </c>
      <c r="C20" s="108" t="s">
        <v>184</v>
      </c>
      <c r="D20" s="108" t="s">
        <v>184</v>
      </c>
      <c r="E20" s="108" t="s">
        <v>673</v>
      </c>
      <c r="F20" s="108" t="s">
        <v>93</v>
      </c>
      <c r="G20" s="108" t="s">
        <v>665</v>
      </c>
      <c r="H20" s="107">
        <v>5.04</v>
      </c>
      <c r="I20" s="107">
        <f t="shared" si="0"/>
        <v>78576.81</v>
      </c>
    </row>
    <row r="21" spans="1:10" outlineLevel="1" x14ac:dyDescent="0.3">
      <c r="A21" s="108" t="s">
        <v>658</v>
      </c>
      <c r="B21" s="108" t="s">
        <v>106</v>
      </c>
      <c r="C21" s="108" t="s">
        <v>184</v>
      </c>
      <c r="D21" s="108" t="s">
        <v>184</v>
      </c>
      <c r="E21" s="108" t="s">
        <v>672</v>
      </c>
      <c r="F21" s="108" t="s">
        <v>93</v>
      </c>
      <c r="G21" s="108" t="s">
        <v>665</v>
      </c>
      <c r="H21" s="107">
        <v>3.99</v>
      </c>
      <c r="I21" s="107">
        <f t="shared" si="0"/>
        <v>78580.800000000003</v>
      </c>
    </row>
    <row r="22" spans="1:10" outlineLevel="1" x14ac:dyDescent="0.3">
      <c r="A22" s="108" t="s">
        <v>658</v>
      </c>
      <c r="B22" s="108" t="s">
        <v>106</v>
      </c>
      <c r="C22" s="108" t="s">
        <v>184</v>
      </c>
      <c r="D22" s="108" t="s">
        <v>184</v>
      </c>
      <c r="E22" s="108" t="s">
        <v>671</v>
      </c>
      <c r="F22" s="108" t="s">
        <v>93</v>
      </c>
      <c r="G22" s="108" t="s">
        <v>665</v>
      </c>
      <c r="H22" s="107">
        <v>23.95</v>
      </c>
      <c r="I22" s="107">
        <f t="shared" si="0"/>
        <v>78604.75</v>
      </c>
    </row>
    <row r="23" spans="1:10" outlineLevel="1" x14ac:dyDescent="0.3">
      <c r="A23" s="108" t="s">
        <v>668</v>
      </c>
      <c r="B23" s="108" t="s">
        <v>106</v>
      </c>
      <c r="C23" s="108"/>
      <c r="D23" s="108" t="s">
        <v>674</v>
      </c>
      <c r="E23" s="108"/>
      <c r="F23" s="108"/>
      <c r="G23" s="108"/>
      <c r="H23" s="107">
        <v>996</v>
      </c>
      <c r="I23" s="107">
        <f t="shared" si="0"/>
        <v>79600.75</v>
      </c>
    </row>
    <row r="24" spans="1:10" x14ac:dyDescent="0.3">
      <c r="H24" s="351">
        <f>SUM(H6:H23)</f>
        <v>68685.392158121162</v>
      </c>
      <c r="I24" s="351">
        <f>I23</f>
        <v>79600.75</v>
      </c>
    </row>
    <row r="25" spans="1:10" x14ac:dyDescent="0.3">
      <c r="H25" s="351"/>
      <c r="I25" s="353">
        <f>H5*-1</f>
        <v>5997.6</v>
      </c>
      <c r="J25" t="s">
        <v>657</v>
      </c>
    </row>
    <row r="26" spans="1:10" x14ac:dyDescent="0.3">
      <c r="H26" s="351"/>
    </row>
    <row r="27" spans="1:10" x14ac:dyDescent="0.3">
      <c r="H27" s="354">
        <v>-20925</v>
      </c>
      <c r="I27" t="s">
        <v>680</v>
      </c>
    </row>
    <row r="28" spans="1:10" x14ac:dyDescent="0.3">
      <c r="H28" s="351">
        <f>H24+H27</f>
        <v>47760.392158121162</v>
      </c>
    </row>
    <row r="33" spans="8:17" x14ac:dyDescent="0.3">
      <c r="I33"/>
      <c r="J33" s="356"/>
      <c r="K33" s="359" t="s">
        <v>682</v>
      </c>
      <c r="L33" s="360" t="s">
        <v>683</v>
      </c>
      <c r="M33" s="198" t="s">
        <v>635</v>
      </c>
    </row>
    <row r="34" spans="8:17" x14ac:dyDescent="0.3">
      <c r="I34" s="68" t="s">
        <v>222</v>
      </c>
      <c r="J34" s="356"/>
      <c r="K34" s="357">
        <f>K60</f>
        <v>1902</v>
      </c>
      <c r="L34" s="358">
        <f>'Quantum Run 04042025 line items'!H61</f>
        <v>9712</v>
      </c>
      <c r="M34" s="147"/>
    </row>
    <row r="35" spans="8:17" x14ac:dyDescent="0.3">
      <c r="I35" t="s">
        <v>258</v>
      </c>
      <c r="J35" s="1">
        <f>(H9+H10+H16)+H27</f>
        <v>30314.720000000001</v>
      </c>
      <c r="K35" s="1">
        <f t="shared" ref="K35:K41" si="1">J35/$K$60</f>
        <v>15.938338590956889</v>
      </c>
      <c r="L35" s="1">
        <v>15.946908978583197</v>
      </c>
      <c r="M35" s="2">
        <f>K35-L35</f>
        <v>-8.5703876263085732E-3</v>
      </c>
      <c r="N35" s="352"/>
      <c r="O35" s="1"/>
    </row>
    <row r="36" spans="8:17" x14ac:dyDescent="0.3">
      <c r="I36" t="s">
        <v>685</v>
      </c>
      <c r="J36" s="1">
        <f>H17+H12+H11+H8</f>
        <v>9050.2200000000012</v>
      </c>
      <c r="K36" s="1">
        <f t="shared" si="1"/>
        <v>4.7582649842271296</v>
      </c>
      <c r="L36" s="1">
        <v>0.84766989291598016</v>
      </c>
      <c r="M36" s="2">
        <f t="shared" ref="M36:M42" si="2">K36-L36</f>
        <v>3.9105950913111496</v>
      </c>
      <c r="N36" s="352"/>
      <c r="O36" s="1"/>
    </row>
    <row r="37" spans="8:17" x14ac:dyDescent="0.3">
      <c r="H37"/>
      <c r="I37" t="s">
        <v>684</v>
      </c>
      <c r="J37" s="1">
        <f>H7</f>
        <v>-950</v>
      </c>
      <c r="K37" s="1">
        <f t="shared" si="1"/>
        <v>-0.49947423764458465</v>
      </c>
      <c r="L37" s="1">
        <v>9.7817133443163104E-2</v>
      </c>
      <c r="M37" s="2">
        <f t="shared" si="2"/>
        <v>-0.59729137108774777</v>
      </c>
      <c r="N37" s="352"/>
      <c r="O37" s="1"/>
      <c r="P37" t="s">
        <v>689</v>
      </c>
      <c r="Q37">
        <v>4500</v>
      </c>
    </row>
    <row r="38" spans="8:17" x14ac:dyDescent="0.3">
      <c r="H38"/>
      <c r="I38" t="s">
        <v>69</v>
      </c>
      <c r="J38" s="1">
        <f>H15</f>
        <v>1925</v>
      </c>
      <c r="K38" s="1">
        <f t="shared" si="1"/>
        <v>1.012092534174553</v>
      </c>
      <c r="L38" s="1">
        <v>1.157845963756178</v>
      </c>
      <c r="M38" s="2">
        <f t="shared" si="2"/>
        <v>-0.14575342958162496</v>
      </c>
      <c r="N38" s="352"/>
      <c r="O38" s="1"/>
      <c r="P38" t="s">
        <v>331</v>
      </c>
      <c r="Q38">
        <f>Q37/6</f>
        <v>750</v>
      </c>
    </row>
    <row r="39" spans="8:17" x14ac:dyDescent="0.3">
      <c r="H39"/>
      <c r="I39" t="s">
        <v>686</v>
      </c>
      <c r="J39" s="1">
        <f>H13+H6</f>
        <v>5107.8821581211669</v>
      </c>
      <c r="K39" s="1">
        <f t="shared" si="1"/>
        <v>2.6855321546378375</v>
      </c>
      <c r="L39" s="1">
        <v>2.174516062602966</v>
      </c>
      <c r="M39" s="2">
        <f t="shared" si="2"/>
        <v>0.51101609203487142</v>
      </c>
      <c r="N39" s="352"/>
      <c r="O39" s="1"/>
      <c r="P39" s="37" t="s">
        <v>690</v>
      </c>
      <c r="Q39" s="28">
        <v>1.6</v>
      </c>
    </row>
    <row r="40" spans="8:17" x14ac:dyDescent="0.3">
      <c r="H40"/>
      <c r="I40" t="s">
        <v>687</v>
      </c>
      <c r="J40" s="1">
        <f>H14</f>
        <v>1200</v>
      </c>
      <c r="K40" s="1">
        <f t="shared" si="1"/>
        <v>0.63091482649842268</v>
      </c>
      <c r="L40" s="1">
        <v>0.59376235584843495</v>
      </c>
      <c r="M40" s="2">
        <f t="shared" si="2"/>
        <v>3.7152470649987723E-2</v>
      </c>
      <c r="N40" s="352"/>
      <c r="O40" s="1"/>
      <c r="P40" t="s">
        <v>691</v>
      </c>
      <c r="Q40" s="2">
        <f>Q38*Q39</f>
        <v>1200</v>
      </c>
    </row>
    <row r="41" spans="8:17" x14ac:dyDescent="0.3">
      <c r="H41"/>
      <c r="I41" t="s">
        <v>681</v>
      </c>
      <c r="J41" s="1">
        <f>SUM(H18:H23)</f>
        <v>1112.57</v>
      </c>
      <c r="K41" s="28">
        <f t="shared" si="1"/>
        <v>0.58494742376445841</v>
      </c>
      <c r="L41" s="28">
        <v>6.0770181219110382E-2</v>
      </c>
      <c r="M41" s="36">
        <f t="shared" si="2"/>
        <v>0.52417724254534803</v>
      </c>
      <c r="N41" s="352"/>
      <c r="O41" s="1"/>
    </row>
    <row r="42" spans="8:17" x14ac:dyDescent="0.3">
      <c r="H42"/>
      <c r="K42" s="2">
        <f>SUM(K35:K41)</f>
        <v>25.110616276614703</v>
      </c>
      <c r="L42" s="2">
        <f>SUM(L35:L41)</f>
        <v>20.879290568369022</v>
      </c>
      <c r="M42" s="2">
        <f t="shared" si="2"/>
        <v>4.2313257082456808</v>
      </c>
      <c r="N42" s="352"/>
      <c r="O42" s="1"/>
    </row>
    <row r="43" spans="8:17" x14ac:dyDescent="0.3">
      <c r="H43"/>
      <c r="O43" s="1"/>
    </row>
    <row r="44" spans="8:17" x14ac:dyDescent="0.3">
      <c r="O44" s="1"/>
    </row>
    <row r="45" spans="8:17" x14ac:dyDescent="0.3">
      <c r="I45"/>
      <c r="J45" s="356"/>
      <c r="K45" s="359" t="s">
        <v>682</v>
      </c>
      <c r="L45" s="360" t="s">
        <v>688</v>
      </c>
      <c r="M45" s="198" t="s">
        <v>635</v>
      </c>
      <c r="O45" s="1"/>
    </row>
    <row r="46" spans="8:17" x14ac:dyDescent="0.3">
      <c r="I46" s="68" t="s">
        <v>222</v>
      </c>
      <c r="J46" s="356"/>
      <c r="K46" s="357">
        <v>1902</v>
      </c>
      <c r="L46" s="358"/>
      <c r="M46" s="147"/>
      <c r="O46" s="1"/>
    </row>
    <row r="47" spans="8:17" x14ac:dyDescent="0.3">
      <c r="I47" t="s">
        <v>258</v>
      </c>
      <c r="J47" s="1">
        <v>30314.720000000001</v>
      </c>
      <c r="K47" s="1">
        <v>15.938338590956889</v>
      </c>
      <c r="L47" s="1">
        <v>15.946908978583197</v>
      </c>
      <c r="M47" s="2">
        <f>L47-K47</f>
        <v>8.5703876263085732E-3</v>
      </c>
      <c r="O47" s="1"/>
    </row>
    <row r="48" spans="8:17" x14ac:dyDescent="0.3">
      <c r="I48" t="s">
        <v>685</v>
      </c>
      <c r="J48" s="1">
        <v>9050.2200000000012</v>
      </c>
      <c r="K48" s="1">
        <v>4.7582649842271296</v>
      </c>
      <c r="L48" s="1"/>
      <c r="M48" s="2">
        <f t="shared" ref="M48:M53" si="3">L48-K48</f>
        <v>-4.7582649842271296</v>
      </c>
      <c r="O48" s="1"/>
    </row>
    <row r="49" spans="9:15" x14ac:dyDescent="0.3">
      <c r="I49" t="s">
        <v>684</v>
      </c>
      <c r="J49" s="1">
        <v>-950</v>
      </c>
      <c r="K49" s="1">
        <v>-0.49947423764458465</v>
      </c>
      <c r="L49" s="1"/>
      <c r="M49" s="2">
        <f t="shared" si="3"/>
        <v>0.49947423764458465</v>
      </c>
      <c r="O49" s="1"/>
    </row>
    <row r="50" spans="9:15" x14ac:dyDescent="0.3">
      <c r="I50" t="s">
        <v>69</v>
      </c>
      <c r="J50" s="1">
        <v>1925</v>
      </c>
      <c r="K50" s="1">
        <v>1.012092534174553</v>
      </c>
      <c r="L50" s="1">
        <v>1.01</v>
      </c>
      <c r="M50" s="2">
        <f t="shared" si="3"/>
        <v>-2.0925341745530179E-3</v>
      </c>
      <c r="O50" s="1"/>
    </row>
    <row r="51" spans="9:15" x14ac:dyDescent="0.3">
      <c r="I51" t="s">
        <v>686</v>
      </c>
      <c r="J51" s="1">
        <v>5107.8821581211669</v>
      </c>
      <c r="K51" s="1">
        <v>2.6855321546378375</v>
      </c>
      <c r="L51" s="1">
        <v>2.69</v>
      </c>
      <c r="M51" s="2">
        <f t="shared" si="3"/>
        <v>4.4678453621624925E-3</v>
      </c>
      <c r="O51" s="1"/>
    </row>
    <row r="52" spans="9:15" x14ac:dyDescent="0.3">
      <c r="I52" t="s">
        <v>687</v>
      </c>
      <c r="J52" s="1">
        <v>6847.2</v>
      </c>
      <c r="K52" s="1">
        <v>3.6</v>
      </c>
      <c r="L52" s="1"/>
      <c r="M52" s="2">
        <f t="shared" si="3"/>
        <v>-3.6</v>
      </c>
      <c r="O52" s="1"/>
    </row>
    <row r="53" spans="9:15" x14ac:dyDescent="0.3">
      <c r="I53" t="s">
        <v>681</v>
      </c>
      <c r="J53" s="1">
        <v>1112.57</v>
      </c>
      <c r="K53" s="28">
        <v>0.58494742376445841</v>
      </c>
      <c r="L53" s="28"/>
      <c r="M53" s="36">
        <f t="shared" si="3"/>
        <v>-0.58494742376445841</v>
      </c>
      <c r="O53" s="1"/>
    </row>
    <row r="54" spans="9:15" x14ac:dyDescent="0.3">
      <c r="K54" s="2">
        <f>SUM(K47:K53)</f>
        <v>28.079701450116282</v>
      </c>
      <c r="L54" s="2">
        <f>SUM(L47:L53)</f>
        <v>19.646908978583198</v>
      </c>
      <c r="M54" s="2">
        <f>SUM(M47:M53)</f>
        <v>-8.4327924715330838</v>
      </c>
    </row>
    <row r="55" spans="9:15" x14ac:dyDescent="0.3">
      <c r="K55" s="2"/>
      <c r="L55" s="2"/>
      <c r="M55" s="2"/>
    </row>
    <row r="56" spans="9:15" x14ac:dyDescent="0.3">
      <c r="I56"/>
      <c r="J56" t="s">
        <v>243</v>
      </c>
      <c r="K56" t="s">
        <v>222</v>
      </c>
    </row>
    <row r="57" spans="9:15" x14ac:dyDescent="0.3">
      <c r="I57" t="s">
        <v>661</v>
      </c>
      <c r="J57">
        <v>9984</v>
      </c>
      <c r="K57">
        <f>J57/24</f>
        <v>416</v>
      </c>
    </row>
    <row r="58" spans="9:15" x14ac:dyDescent="0.3">
      <c r="I58" t="s">
        <v>662</v>
      </c>
      <c r="J58">
        <v>20712</v>
      </c>
      <c r="K58">
        <f t="shared" ref="K58:K60" si="4">J58/24</f>
        <v>863</v>
      </c>
    </row>
    <row r="59" spans="9:15" x14ac:dyDescent="0.3">
      <c r="I59" t="s">
        <v>663</v>
      </c>
      <c r="J59" s="37">
        <v>14952</v>
      </c>
      <c r="K59" s="37">
        <f t="shared" si="4"/>
        <v>623</v>
      </c>
    </row>
    <row r="60" spans="9:15" x14ac:dyDescent="0.3">
      <c r="I60"/>
      <c r="J60">
        <f>SUM(J57:J59)</f>
        <v>45648</v>
      </c>
      <c r="K60">
        <f t="shared" si="4"/>
        <v>1902</v>
      </c>
    </row>
    <row r="61" spans="9:15" x14ac:dyDescent="0.3">
      <c r="I61" t="s">
        <v>664</v>
      </c>
      <c r="K61" s="44">
        <f>H28</f>
        <v>47760.392158121162</v>
      </c>
    </row>
    <row r="62" spans="9:15" x14ac:dyDescent="0.3">
      <c r="I62"/>
      <c r="K62" s="1">
        <f>K61/K60</f>
        <v>25.110616276614699</v>
      </c>
    </row>
  </sheetData>
  <conditionalFormatting sqref="M35:M42">
    <cfRule type="cellIs" dxfId="12" priority="10" operator="greaterThan">
      <formula>2.8</formula>
    </cfRule>
    <cfRule type="cellIs" dxfId="11" priority="11" operator="lessThan">
      <formula>0</formula>
    </cfRule>
  </conditionalFormatting>
  <conditionalFormatting sqref="M39 M41">
    <cfRule type="cellIs" dxfId="10" priority="9" operator="greaterThan">
      <formula>1.32</formula>
    </cfRule>
  </conditionalFormatting>
  <conditionalFormatting sqref="M39">
    <cfRule type="cellIs" dxfId="9" priority="7" operator="greaterThan">
      <formula>0.51</formula>
    </cfRule>
  </conditionalFormatting>
  <conditionalFormatting sqref="M41">
    <cfRule type="cellIs" dxfId="8" priority="8" operator="greaterThan">
      <formula>0.52</formula>
    </cfRule>
  </conditionalFormatting>
  <conditionalFormatting sqref="M47:M53">
    <cfRule type="cellIs" dxfId="7" priority="1" operator="greaterThan">
      <formula>0</formula>
    </cfRule>
  </conditionalFormatting>
  <conditionalFormatting sqref="M47:M55">
    <cfRule type="cellIs" dxfId="6" priority="5" operator="greaterThan">
      <formula>2.8</formula>
    </cfRule>
    <cfRule type="cellIs" dxfId="5" priority="6" operator="lessThan">
      <formula>0</formula>
    </cfRule>
  </conditionalFormatting>
  <conditionalFormatting sqref="M51 M53">
    <cfRule type="cellIs" dxfId="4" priority="4" operator="greaterThan">
      <formula>1.32</formula>
    </cfRule>
  </conditionalFormatting>
  <conditionalFormatting sqref="M51">
    <cfRule type="cellIs" dxfId="3" priority="2" operator="greaterThan">
      <formula>0.51</formula>
    </cfRule>
  </conditionalFormatting>
  <conditionalFormatting sqref="M53">
    <cfRule type="cellIs" dxfId="2" priority="3" operator="greaterThan">
      <formula>0.52</formula>
    </cfRule>
  </conditionalFormatting>
  <pageMargins left="0.7" right="0.7" top="0.75" bottom="0.75" header="0.3" footer="0.3"/>
  <pageSetup orientation="portrait" r:id="rId1"/>
  <ignoredErrors>
    <ignoredError sqref="J4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D01B-8DEC-4400-A441-FF99424D2EA5}">
  <dimension ref="A1:O82"/>
  <sheetViews>
    <sheetView topLeftCell="A18" workbookViewId="0">
      <selection activeCell="H39" sqref="H39"/>
    </sheetView>
  </sheetViews>
  <sheetFormatPr defaultColWidth="11.19921875" defaultRowHeight="15.6" outlineLevelRow="1" x14ac:dyDescent="0.3"/>
  <cols>
    <col min="1" max="1" width="15.19921875" style="104" customWidth="1"/>
    <col min="2" max="2" width="14.3984375" style="104" customWidth="1"/>
    <col min="3" max="3" width="18.59765625" style="104" customWidth="1"/>
    <col min="4" max="4" width="29.8984375" style="104" customWidth="1"/>
    <col min="5" max="5" width="36.5" style="104" customWidth="1"/>
    <col min="6" max="6" width="15.19921875" style="104" customWidth="1"/>
    <col min="7" max="7" width="20.3984375" style="104" customWidth="1"/>
    <col min="8" max="8" width="15.19921875" style="104" customWidth="1"/>
    <col min="9" max="10" width="13.19921875" style="104" customWidth="1"/>
    <col min="11" max="11" width="12.09765625" bestFit="1" customWidth="1"/>
  </cols>
  <sheetData>
    <row r="1" spans="1:11" x14ac:dyDescent="0.3">
      <c r="A1" s="371"/>
      <c r="B1" s="371"/>
      <c r="C1" s="371"/>
      <c r="D1" s="371"/>
      <c r="E1" s="371"/>
      <c r="F1" s="371"/>
      <c r="G1" s="371"/>
      <c r="H1" s="371"/>
    </row>
    <row r="2" spans="1:11" x14ac:dyDescent="0.3">
      <c r="A2" s="371"/>
      <c r="B2" s="371"/>
      <c r="C2" s="371"/>
      <c r="D2" s="371"/>
      <c r="E2" s="371"/>
      <c r="F2" s="371"/>
      <c r="G2" s="371"/>
      <c r="H2" s="371"/>
    </row>
    <row r="3" spans="1:11" x14ac:dyDescent="0.3">
      <c r="A3" s="371"/>
      <c r="B3" s="371"/>
      <c r="C3" s="371"/>
      <c r="D3" s="371"/>
      <c r="E3" s="371"/>
      <c r="F3" s="371"/>
      <c r="G3" s="371"/>
      <c r="H3" s="371"/>
      <c r="I3" s="314">
        <f>251988</f>
        <v>251988</v>
      </c>
      <c r="J3" s="314"/>
      <c r="K3">
        <f>I3/24</f>
        <v>10499.5</v>
      </c>
    </row>
    <row r="4" spans="1:11" x14ac:dyDescent="0.3">
      <c r="K4">
        <f>H38/K3</f>
        <v>0.92499642840135243</v>
      </c>
    </row>
    <row r="5" spans="1:11" x14ac:dyDescent="0.3">
      <c r="A5" s="116" t="s">
        <v>505</v>
      </c>
      <c r="B5" s="116" t="s">
        <v>199</v>
      </c>
      <c r="C5" s="116" t="s">
        <v>135</v>
      </c>
      <c r="D5" s="116" t="s">
        <v>134</v>
      </c>
      <c r="E5" s="116" t="s">
        <v>133</v>
      </c>
      <c r="F5" s="116" t="s">
        <v>198</v>
      </c>
      <c r="G5" s="116" t="s">
        <v>504</v>
      </c>
      <c r="H5" s="116" t="s">
        <v>130</v>
      </c>
      <c r="I5" s="116" t="s">
        <v>503</v>
      </c>
      <c r="J5" s="116"/>
    </row>
    <row r="6" spans="1:11" outlineLevel="1" x14ac:dyDescent="0.3">
      <c r="A6" s="272" t="s">
        <v>581</v>
      </c>
      <c r="B6" s="108" t="s">
        <v>574</v>
      </c>
      <c r="C6" s="108" t="s">
        <v>580</v>
      </c>
      <c r="D6" s="108" t="s">
        <v>184</v>
      </c>
      <c r="E6" s="108" t="s">
        <v>184</v>
      </c>
      <c r="F6" s="108" t="s">
        <v>93</v>
      </c>
      <c r="G6" s="108" t="s">
        <v>184</v>
      </c>
      <c r="H6" s="107">
        <v>-20699.27</v>
      </c>
      <c r="I6" s="108"/>
      <c r="J6" s="108"/>
    </row>
    <row r="7" spans="1:11" outlineLevel="1" x14ac:dyDescent="0.3">
      <c r="A7" s="272" t="s">
        <v>567</v>
      </c>
      <c r="B7" s="108" t="s">
        <v>97</v>
      </c>
      <c r="C7" s="108" t="s">
        <v>184</v>
      </c>
      <c r="D7" s="108" t="s">
        <v>260</v>
      </c>
      <c r="E7" s="108" t="s">
        <v>184</v>
      </c>
      <c r="F7" s="108" t="s">
        <v>93</v>
      </c>
      <c r="G7" s="108" t="s">
        <v>92</v>
      </c>
      <c r="H7" s="107">
        <v>472.5</v>
      </c>
      <c r="I7" s="107">
        <v>472.5</v>
      </c>
      <c r="J7" s="107"/>
    </row>
    <row r="8" spans="1:11" outlineLevel="1" x14ac:dyDescent="0.3">
      <c r="A8" s="272" t="s">
        <v>567</v>
      </c>
      <c r="B8" s="108" t="s">
        <v>97</v>
      </c>
      <c r="C8" s="108" t="s">
        <v>184</v>
      </c>
      <c r="D8" s="108" t="s">
        <v>260</v>
      </c>
      <c r="E8" s="108" t="s">
        <v>150</v>
      </c>
      <c r="F8" s="108" t="s">
        <v>93</v>
      </c>
      <c r="G8" s="108" t="s">
        <v>92</v>
      </c>
      <c r="H8" s="107">
        <v>262.5</v>
      </c>
      <c r="I8" s="107">
        <v>735</v>
      </c>
      <c r="J8" s="107"/>
    </row>
    <row r="9" spans="1:11" outlineLevel="1" x14ac:dyDescent="0.3">
      <c r="A9" s="272" t="s">
        <v>568</v>
      </c>
      <c r="B9" s="108" t="s">
        <v>97</v>
      </c>
      <c r="C9" s="108" t="s">
        <v>261</v>
      </c>
      <c r="D9" s="108" t="s">
        <v>262</v>
      </c>
      <c r="E9" s="108" t="s">
        <v>263</v>
      </c>
      <c r="F9" s="108" t="s">
        <v>93</v>
      </c>
      <c r="G9" s="108" t="s">
        <v>92</v>
      </c>
      <c r="H9" s="107">
        <v>950</v>
      </c>
      <c r="I9" s="107">
        <v>1685</v>
      </c>
      <c r="J9" s="107"/>
    </row>
    <row r="10" spans="1:11" outlineLevel="1" x14ac:dyDescent="0.3">
      <c r="A10" s="272" t="s">
        <v>500</v>
      </c>
      <c r="B10" s="108" t="s">
        <v>97</v>
      </c>
      <c r="C10" s="108" t="s">
        <v>502</v>
      </c>
      <c r="D10" s="108" t="s">
        <v>258</v>
      </c>
      <c r="E10" s="108" t="s">
        <v>501</v>
      </c>
      <c r="F10" s="108" t="s">
        <v>93</v>
      </c>
      <c r="G10" s="108" t="s">
        <v>92</v>
      </c>
      <c r="H10" s="107">
        <v>62620</v>
      </c>
      <c r="I10" s="107">
        <v>64305</v>
      </c>
      <c r="J10" s="107"/>
    </row>
    <row r="11" spans="1:11" outlineLevel="1" x14ac:dyDescent="0.3">
      <c r="A11" s="272" t="s">
        <v>500</v>
      </c>
      <c r="B11" s="108" t="s">
        <v>106</v>
      </c>
      <c r="C11" s="108" t="s">
        <v>184</v>
      </c>
      <c r="D11" s="108" t="s">
        <v>260</v>
      </c>
      <c r="E11" s="108" t="s">
        <v>184</v>
      </c>
      <c r="F11" s="108" t="s">
        <v>93</v>
      </c>
      <c r="G11" s="108" t="s">
        <v>102</v>
      </c>
      <c r="H11" s="107">
        <v>4226.25</v>
      </c>
      <c r="I11" s="107">
        <v>68531.25</v>
      </c>
      <c r="J11" s="107"/>
    </row>
    <row r="12" spans="1:11" outlineLevel="1" x14ac:dyDescent="0.3">
      <c r="A12" s="272" t="s">
        <v>499</v>
      </c>
      <c r="B12" s="108" t="s">
        <v>97</v>
      </c>
      <c r="C12" s="108" t="s">
        <v>498</v>
      </c>
      <c r="D12" s="108" t="s">
        <v>258</v>
      </c>
      <c r="E12" s="108" t="s">
        <v>497</v>
      </c>
      <c r="F12" s="108" t="s">
        <v>93</v>
      </c>
      <c r="G12" s="108" t="s">
        <v>92</v>
      </c>
      <c r="H12" s="107">
        <v>62114.06</v>
      </c>
      <c r="I12" s="107">
        <v>130645.31</v>
      </c>
      <c r="J12" s="107"/>
    </row>
    <row r="13" spans="1:11" outlineLevel="1" x14ac:dyDescent="0.3">
      <c r="A13" s="272" t="s">
        <v>466</v>
      </c>
      <c r="B13" s="108" t="s">
        <v>97</v>
      </c>
      <c r="C13" s="108" t="s">
        <v>467</v>
      </c>
      <c r="D13" s="108" t="s">
        <v>258</v>
      </c>
      <c r="E13" s="108" t="s">
        <v>184</v>
      </c>
      <c r="F13" s="108" t="s">
        <v>93</v>
      </c>
      <c r="G13" s="108" t="s">
        <v>92</v>
      </c>
      <c r="H13" s="107">
        <v>40142.32</v>
      </c>
      <c r="I13" s="107">
        <v>221295.23</v>
      </c>
      <c r="J13" s="107"/>
    </row>
    <row r="14" spans="1:11" ht="21.6" outlineLevel="1" x14ac:dyDescent="0.3">
      <c r="A14" s="272" t="s">
        <v>460</v>
      </c>
      <c r="B14" s="108" t="s">
        <v>459</v>
      </c>
      <c r="C14" s="108" t="s">
        <v>458</v>
      </c>
      <c r="D14" s="108" t="s">
        <v>258</v>
      </c>
      <c r="E14" s="108" t="s">
        <v>457</v>
      </c>
      <c r="F14" s="108" t="s">
        <v>93</v>
      </c>
      <c r="G14" s="108" t="s">
        <v>92</v>
      </c>
      <c r="H14" s="110">
        <v>-10000</v>
      </c>
      <c r="I14" s="107">
        <v>215861.55000000002</v>
      </c>
      <c r="J14" s="107"/>
      <c r="K14" s="108" t="s">
        <v>569</v>
      </c>
    </row>
    <row r="15" spans="1:11" outlineLevel="1" x14ac:dyDescent="0.3">
      <c r="A15" s="272" t="s">
        <v>496</v>
      </c>
      <c r="B15" s="108" t="s">
        <v>106</v>
      </c>
      <c r="C15" s="108" t="s">
        <v>184</v>
      </c>
      <c r="D15" s="108" t="s">
        <v>184</v>
      </c>
      <c r="E15" s="108" t="s">
        <v>184</v>
      </c>
      <c r="F15" s="108" t="s">
        <v>93</v>
      </c>
      <c r="G15" s="108" t="s">
        <v>495</v>
      </c>
      <c r="H15" s="107">
        <v>590.20000000000005</v>
      </c>
      <c r="I15" s="107">
        <v>131235.51</v>
      </c>
      <c r="J15" s="107"/>
    </row>
    <row r="16" spans="1:11" outlineLevel="1" x14ac:dyDescent="0.3">
      <c r="A16" s="272" t="s">
        <v>494</v>
      </c>
      <c r="B16" s="108" t="s">
        <v>97</v>
      </c>
      <c r="C16" s="108" t="s">
        <v>493</v>
      </c>
      <c r="D16" s="108" t="s">
        <v>113</v>
      </c>
      <c r="E16" s="108" t="s">
        <v>184</v>
      </c>
      <c r="F16" s="108" t="s">
        <v>93</v>
      </c>
      <c r="G16" s="108" t="s">
        <v>92</v>
      </c>
      <c r="H16" s="107">
        <v>30579.360000000001</v>
      </c>
      <c r="I16" s="107">
        <v>161814.87</v>
      </c>
      <c r="J16" s="107"/>
    </row>
    <row r="17" spans="1:13" outlineLevel="1" x14ac:dyDescent="0.3">
      <c r="A17" s="272" t="s">
        <v>491</v>
      </c>
      <c r="B17" s="108" t="s">
        <v>459</v>
      </c>
      <c r="C17" s="108" t="s">
        <v>184</v>
      </c>
      <c r="D17" s="108" t="s">
        <v>113</v>
      </c>
      <c r="E17" s="108" t="s">
        <v>492</v>
      </c>
      <c r="F17" s="108" t="s">
        <v>93</v>
      </c>
      <c r="G17" s="108" t="s">
        <v>92</v>
      </c>
      <c r="H17" s="108"/>
      <c r="I17" s="107">
        <v>161814.87</v>
      </c>
      <c r="J17" s="107"/>
    </row>
    <row r="18" spans="1:13" outlineLevel="1" x14ac:dyDescent="0.3">
      <c r="A18" s="272" t="s">
        <v>491</v>
      </c>
      <c r="B18" s="108" t="s">
        <v>459</v>
      </c>
      <c r="C18" s="108" t="s">
        <v>184</v>
      </c>
      <c r="D18" s="108" t="s">
        <v>113</v>
      </c>
      <c r="E18" s="108" t="s">
        <v>490</v>
      </c>
      <c r="F18" s="108" t="s">
        <v>93</v>
      </c>
      <c r="G18" s="108" t="s">
        <v>92</v>
      </c>
      <c r="H18" s="108"/>
      <c r="I18" s="107">
        <v>161814.87</v>
      </c>
      <c r="J18" s="107"/>
    </row>
    <row r="19" spans="1:13" outlineLevel="1" x14ac:dyDescent="0.3">
      <c r="A19" s="272" t="s">
        <v>489</v>
      </c>
      <c r="B19" s="108" t="s">
        <v>97</v>
      </c>
      <c r="C19" s="108" t="s">
        <v>488</v>
      </c>
      <c r="D19" s="108" t="s">
        <v>108</v>
      </c>
      <c r="E19" s="108" t="s">
        <v>482</v>
      </c>
      <c r="F19" s="108" t="s">
        <v>93</v>
      </c>
      <c r="G19" s="108" t="s">
        <v>92</v>
      </c>
      <c r="H19" s="107">
        <v>1975</v>
      </c>
      <c r="I19" s="107">
        <v>163789.87</v>
      </c>
      <c r="J19" s="107"/>
      <c r="K19">
        <f>0.61*888*24</f>
        <v>13000.32</v>
      </c>
    </row>
    <row r="20" spans="1:13" outlineLevel="1" x14ac:dyDescent="0.3">
      <c r="A20" s="272" t="s">
        <v>487</v>
      </c>
      <c r="B20" s="108" t="s">
        <v>97</v>
      </c>
      <c r="C20" s="108" t="s">
        <v>486</v>
      </c>
      <c r="D20" s="108" t="s">
        <v>113</v>
      </c>
      <c r="E20" s="108" t="s">
        <v>485</v>
      </c>
      <c r="F20" s="108" t="s">
        <v>93</v>
      </c>
      <c r="G20" s="108" t="s">
        <v>92</v>
      </c>
      <c r="H20" s="107">
        <v>5766.62</v>
      </c>
      <c r="I20" s="107">
        <v>169556.49</v>
      </c>
      <c r="J20" s="107"/>
    </row>
    <row r="21" spans="1:13" outlineLevel="1" x14ac:dyDescent="0.3">
      <c r="A21" s="272" t="s">
        <v>484</v>
      </c>
      <c r="B21" s="108" t="s">
        <v>97</v>
      </c>
      <c r="C21" s="108" t="s">
        <v>483</v>
      </c>
      <c r="D21" s="108" t="s">
        <v>108</v>
      </c>
      <c r="E21" s="108" t="s">
        <v>482</v>
      </c>
      <c r="F21" s="108" t="s">
        <v>93</v>
      </c>
      <c r="G21" s="108" t="s">
        <v>92</v>
      </c>
      <c r="H21" s="107">
        <v>1975</v>
      </c>
      <c r="I21" s="107">
        <v>171531.49</v>
      </c>
      <c r="J21" s="107"/>
    </row>
    <row r="22" spans="1:13" outlineLevel="1" x14ac:dyDescent="0.3">
      <c r="A22" s="272" t="s">
        <v>480</v>
      </c>
      <c r="B22" s="108" t="s">
        <v>97</v>
      </c>
      <c r="C22" s="108" t="s">
        <v>479</v>
      </c>
      <c r="D22" s="108" t="s">
        <v>113</v>
      </c>
      <c r="E22" s="108" t="s">
        <v>31</v>
      </c>
      <c r="F22" s="108" t="s">
        <v>93</v>
      </c>
      <c r="G22" s="108" t="s">
        <v>92</v>
      </c>
      <c r="H22" s="107">
        <v>3200</v>
      </c>
      <c r="I22" s="107">
        <v>174731.49</v>
      </c>
      <c r="J22" s="107"/>
    </row>
    <row r="23" spans="1:13" outlineLevel="1" x14ac:dyDescent="0.3">
      <c r="A23" s="272" t="s">
        <v>480</v>
      </c>
      <c r="B23" s="108" t="s">
        <v>97</v>
      </c>
      <c r="C23" s="108" t="s">
        <v>479</v>
      </c>
      <c r="D23" s="108" t="s">
        <v>113</v>
      </c>
      <c r="E23" s="108" t="s">
        <v>481</v>
      </c>
      <c r="F23" s="108" t="s">
        <v>93</v>
      </c>
      <c r="G23" s="108" t="s">
        <v>92</v>
      </c>
      <c r="H23" s="107">
        <v>3230</v>
      </c>
      <c r="I23" s="107">
        <v>177961.49</v>
      </c>
      <c r="J23" s="107"/>
    </row>
    <row r="24" spans="1:13" outlineLevel="1" x14ac:dyDescent="0.3">
      <c r="A24" s="272" t="s">
        <v>480</v>
      </c>
      <c r="B24" s="108" t="s">
        <v>97</v>
      </c>
      <c r="C24" s="108" t="s">
        <v>479</v>
      </c>
      <c r="D24" s="108" t="s">
        <v>113</v>
      </c>
      <c r="E24" s="108" t="s">
        <v>478</v>
      </c>
      <c r="F24" s="108" t="s">
        <v>93</v>
      </c>
      <c r="G24" s="108" t="s">
        <v>92</v>
      </c>
      <c r="H24" s="107">
        <v>-3200</v>
      </c>
      <c r="I24" s="107">
        <v>174761.49</v>
      </c>
      <c r="J24" s="107"/>
    </row>
    <row r="25" spans="1:13" ht="21.6" outlineLevel="1" x14ac:dyDescent="0.3">
      <c r="A25" s="272" t="s">
        <v>476</v>
      </c>
      <c r="B25" s="108" t="s">
        <v>97</v>
      </c>
      <c r="C25" s="108" t="s">
        <v>475</v>
      </c>
      <c r="D25" s="108" t="s">
        <v>113</v>
      </c>
      <c r="E25" s="108" t="s">
        <v>112</v>
      </c>
      <c r="F25" s="108" t="s">
        <v>93</v>
      </c>
      <c r="G25" s="108" t="s">
        <v>92</v>
      </c>
      <c r="H25" s="107">
        <v>32.32</v>
      </c>
      <c r="I25" s="107">
        <v>174793.81</v>
      </c>
      <c r="J25" s="107"/>
    </row>
    <row r="26" spans="1:13" ht="21.6" outlineLevel="1" x14ac:dyDescent="0.3">
      <c r="A26" s="272" t="s">
        <v>476</v>
      </c>
      <c r="B26" s="108" t="s">
        <v>97</v>
      </c>
      <c r="C26" s="108" t="s">
        <v>475</v>
      </c>
      <c r="D26" s="108" t="s">
        <v>113</v>
      </c>
      <c r="E26" s="108" t="s">
        <v>116</v>
      </c>
      <c r="F26" s="108" t="s">
        <v>93</v>
      </c>
      <c r="G26" s="108" t="s">
        <v>92</v>
      </c>
      <c r="H26" s="107">
        <v>32.82</v>
      </c>
      <c r="I26" s="107">
        <v>174826.63</v>
      </c>
      <c r="J26" s="107"/>
    </row>
    <row r="27" spans="1:13" ht="21.6" outlineLevel="1" x14ac:dyDescent="0.3">
      <c r="A27" s="272" t="s">
        <v>476</v>
      </c>
      <c r="B27" s="108" t="s">
        <v>97</v>
      </c>
      <c r="C27" s="108" t="s">
        <v>475</v>
      </c>
      <c r="D27" s="108" t="s">
        <v>113</v>
      </c>
      <c r="E27" s="108" t="s">
        <v>477</v>
      </c>
      <c r="F27" s="108" t="s">
        <v>93</v>
      </c>
      <c r="G27" s="108" t="s">
        <v>92</v>
      </c>
      <c r="H27" s="107">
        <v>228</v>
      </c>
      <c r="I27" s="107">
        <v>175054.63</v>
      </c>
      <c r="J27" s="107"/>
    </row>
    <row r="28" spans="1:13" outlineLevel="1" x14ac:dyDescent="0.3">
      <c r="A28" s="272" t="s">
        <v>476</v>
      </c>
      <c r="B28" s="108" t="s">
        <v>97</v>
      </c>
      <c r="C28" s="108" t="s">
        <v>475</v>
      </c>
      <c r="D28" s="108" t="s">
        <v>113</v>
      </c>
      <c r="E28" s="108" t="s">
        <v>474</v>
      </c>
      <c r="F28" s="108" t="s">
        <v>93</v>
      </c>
      <c r="G28" s="108" t="s">
        <v>92</v>
      </c>
      <c r="H28" s="107">
        <v>98.28</v>
      </c>
      <c r="I28" s="107">
        <v>175152.91</v>
      </c>
      <c r="J28" s="107"/>
    </row>
    <row r="29" spans="1:13" outlineLevel="1" x14ac:dyDescent="0.3">
      <c r="A29" s="272" t="s">
        <v>473</v>
      </c>
      <c r="B29" s="108" t="s">
        <v>97</v>
      </c>
      <c r="C29" s="108" t="s">
        <v>472</v>
      </c>
      <c r="D29" s="108" t="s">
        <v>108</v>
      </c>
      <c r="E29" s="108" t="s">
        <v>184</v>
      </c>
      <c r="F29" s="108" t="s">
        <v>93</v>
      </c>
      <c r="G29" s="108" t="s">
        <v>92</v>
      </c>
      <c r="H29" s="107">
        <v>2000</v>
      </c>
      <c r="I29" s="107">
        <v>177152.91</v>
      </c>
      <c r="J29" s="107"/>
    </row>
    <row r="30" spans="1:13" outlineLevel="1" x14ac:dyDescent="0.3">
      <c r="A30" s="272" t="s">
        <v>471</v>
      </c>
      <c r="B30" s="108" t="s">
        <v>97</v>
      </c>
      <c r="C30" s="108" t="s">
        <v>470</v>
      </c>
      <c r="D30" s="108" t="s">
        <v>108</v>
      </c>
      <c r="E30" s="108" t="s">
        <v>184</v>
      </c>
      <c r="F30" s="108" t="s">
        <v>93</v>
      </c>
      <c r="G30" s="108" t="s">
        <v>92</v>
      </c>
      <c r="H30" s="107">
        <v>2000</v>
      </c>
      <c r="I30" s="107">
        <v>179152.91</v>
      </c>
      <c r="J30" s="107"/>
    </row>
    <row r="31" spans="1:13" outlineLevel="1" x14ac:dyDescent="0.3">
      <c r="A31" s="272" t="s">
        <v>469</v>
      </c>
      <c r="B31" s="108" t="s">
        <v>97</v>
      </c>
      <c r="C31" s="108" t="s">
        <v>468</v>
      </c>
      <c r="D31" s="108" t="s">
        <v>108</v>
      </c>
      <c r="E31" s="108" t="s">
        <v>184</v>
      </c>
      <c r="F31" s="108" t="s">
        <v>93</v>
      </c>
      <c r="G31" s="108" t="s">
        <v>92</v>
      </c>
      <c r="H31" s="107">
        <v>2000</v>
      </c>
      <c r="I31" s="107">
        <v>181152.91</v>
      </c>
      <c r="J31" s="107">
        <f>91*22</f>
        <v>2002</v>
      </c>
      <c r="K31">
        <f>J31*24</f>
        <v>48048</v>
      </c>
      <c r="L31">
        <f>H31/K31</f>
        <v>4.1625041625041624E-2</v>
      </c>
      <c r="M31">
        <f>J31/H31</f>
        <v>1.0009999999999999</v>
      </c>
    </row>
    <row r="32" spans="1:13" outlineLevel="1" x14ac:dyDescent="0.3">
      <c r="A32" s="272" t="s">
        <v>466</v>
      </c>
      <c r="B32" s="108" t="s">
        <v>97</v>
      </c>
      <c r="C32" s="108" t="s">
        <v>465</v>
      </c>
      <c r="D32" s="108" t="s">
        <v>108</v>
      </c>
      <c r="E32" s="108" t="s">
        <v>464</v>
      </c>
      <c r="F32" s="108" t="s">
        <v>93</v>
      </c>
      <c r="G32" s="108" t="s">
        <v>92</v>
      </c>
      <c r="H32" s="107">
        <v>1295</v>
      </c>
      <c r="I32" s="107">
        <v>222590.23</v>
      </c>
      <c r="J32" s="107"/>
    </row>
    <row r="33" spans="1:12" outlineLevel="1" x14ac:dyDescent="0.3">
      <c r="A33" s="272" t="s">
        <v>461</v>
      </c>
      <c r="B33" s="108" t="s">
        <v>106</v>
      </c>
      <c r="C33" s="108" t="s">
        <v>463</v>
      </c>
      <c r="D33" s="108" t="s">
        <v>260</v>
      </c>
      <c r="E33" s="108" t="s">
        <v>462</v>
      </c>
      <c r="F33" s="108" t="s">
        <v>93</v>
      </c>
      <c r="G33" s="108" t="s">
        <v>102</v>
      </c>
      <c r="H33" s="107">
        <v>3271.32</v>
      </c>
      <c r="I33" s="107">
        <v>225861.55000000002</v>
      </c>
      <c r="J33" s="107"/>
    </row>
    <row r="34" spans="1:12" outlineLevel="1" x14ac:dyDescent="0.3">
      <c r="A34" s="272"/>
      <c r="B34" s="108"/>
      <c r="C34" s="108"/>
      <c r="D34" s="108"/>
      <c r="E34" s="108"/>
      <c r="F34" s="108"/>
      <c r="G34" s="108"/>
      <c r="H34" s="313">
        <f>SUM(H7:H33)</f>
        <v>215861.55000000002</v>
      </c>
      <c r="I34" s="107"/>
      <c r="J34" s="107"/>
    </row>
    <row r="35" spans="1:12" outlineLevel="1" x14ac:dyDescent="0.3">
      <c r="A35" s="272"/>
      <c r="B35" s="108"/>
      <c r="C35" s="108"/>
      <c r="D35" s="108"/>
      <c r="E35" s="108"/>
      <c r="F35" s="108"/>
      <c r="G35" s="108"/>
      <c r="H35">
        <v>-12416.6</v>
      </c>
      <c r="I35"/>
      <c r="J35"/>
      <c r="K35" s="310" t="s">
        <v>566</v>
      </c>
    </row>
    <row r="36" spans="1:12" outlineLevel="1" x14ac:dyDescent="0.3">
      <c r="A36" s="272"/>
      <c r="B36" s="108"/>
      <c r="C36" s="108"/>
      <c r="D36" s="108"/>
      <c r="E36" s="108"/>
      <c r="F36" s="108"/>
      <c r="G36" s="108"/>
      <c r="H36" s="110">
        <f>0.33*7*24*12*-1</f>
        <v>-665.28</v>
      </c>
      <c r="I36" s="107"/>
      <c r="J36" s="107"/>
      <c r="K36" s="310" t="s">
        <v>570</v>
      </c>
    </row>
    <row r="37" spans="1:12" outlineLevel="1" x14ac:dyDescent="0.3">
      <c r="A37" s="272"/>
      <c r="B37" s="108"/>
      <c r="C37" s="108"/>
      <c r="D37" s="108"/>
      <c r="E37" s="108"/>
      <c r="F37" s="108"/>
      <c r="G37" s="108"/>
      <c r="H37" s="107">
        <f>H34+H35+H36</f>
        <v>202779.67</v>
      </c>
      <c r="I37" s="107"/>
      <c r="J37" s="107"/>
      <c r="K37" s="108" t="s">
        <v>571</v>
      </c>
    </row>
    <row r="38" spans="1:12" outlineLevel="1" x14ac:dyDescent="0.3">
      <c r="A38" s="272"/>
      <c r="B38" s="108"/>
      <c r="C38" s="108"/>
      <c r="D38" s="108"/>
      <c r="E38" s="108"/>
      <c r="F38" s="108"/>
      <c r="G38" s="108"/>
      <c r="H38" s="311">
        <f>'Post run totals from Cali 06.05'!E29</f>
        <v>9712</v>
      </c>
      <c r="K38" t="s">
        <v>1</v>
      </c>
      <c r="L38" t="s">
        <v>579</v>
      </c>
    </row>
    <row r="39" spans="1:12" outlineLevel="1" x14ac:dyDescent="0.3">
      <c r="A39" s="272"/>
      <c r="B39" s="108"/>
      <c r="C39" s="108"/>
      <c r="D39" s="108"/>
      <c r="E39" s="108"/>
      <c r="F39" s="108"/>
      <c r="G39" s="108"/>
      <c r="H39" s="104">
        <f>H37/H38</f>
        <v>20.879290568369029</v>
      </c>
      <c r="K39" t="s">
        <v>578</v>
      </c>
    </row>
    <row r="40" spans="1:12" outlineLevel="1" x14ac:dyDescent="0.3">
      <c r="A40" s="272"/>
      <c r="B40" s="108"/>
      <c r="C40" s="108"/>
      <c r="D40" s="108"/>
      <c r="E40" s="108"/>
      <c r="F40" s="108"/>
      <c r="G40" s="108"/>
      <c r="H40" s="107"/>
      <c r="I40" s="107"/>
      <c r="J40" s="107"/>
    </row>
    <row r="41" spans="1:12" outlineLevel="1" x14ac:dyDescent="0.3">
      <c r="A41" s="272"/>
      <c r="B41" s="108"/>
      <c r="C41" s="108"/>
      <c r="D41" s="108"/>
      <c r="E41" s="108"/>
      <c r="F41" s="108"/>
      <c r="G41" s="108"/>
      <c r="H41" s="107"/>
      <c r="I41" s="107"/>
      <c r="J41" s="107"/>
    </row>
    <row r="42" spans="1:12" outlineLevel="1" x14ac:dyDescent="0.3">
      <c r="A42" s="272"/>
      <c r="B42" s="108"/>
      <c r="C42" s="108"/>
      <c r="D42" s="108"/>
      <c r="E42" s="108"/>
      <c r="F42" s="108"/>
      <c r="G42" s="108"/>
      <c r="H42" s="107"/>
      <c r="I42" s="107"/>
      <c r="J42" s="107"/>
    </row>
    <row r="43" spans="1:12" outlineLevel="1" x14ac:dyDescent="0.3">
      <c r="A43" s="272" t="s">
        <v>577</v>
      </c>
      <c r="B43" s="108" t="s">
        <v>574</v>
      </c>
      <c r="C43" s="108" t="s">
        <v>576</v>
      </c>
      <c r="D43" s="108" t="s">
        <v>184</v>
      </c>
      <c r="E43" s="108" t="s">
        <v>184</v>
      </c>
      <c r="F43" s="108" t="s">
        <v>93</v>
      </c>
      <c r="G43" s="108" t="s">
        <v>184</v>
      </c>
      <c r="H43" s="107">
        <v>-203369.87</v>
      </c>
      <c r="I43" s="107">
        <v>12491.680000000022</v>
      </c>
      <c r="J43" s="107"/>
    </row>
    <row r="44" spans="1:12" ht="21.6" outlineLevel="1" x14ac:dyDescent="0.3">
      <c r="A44" s="272" t="s">
        <v>575</v>
      </c>
      <c r="B44" s="108" t="s">
        <v>574</v>
      </c>
      <c r="C44" s="108" t="s">
        <v>573</v>
      </c>
      <c r="D44" s="108" t="s">
        <v>184</v>
      </c>
      <c r="E44" s="108" t="s">
        <v>572</v>
      </c>
      <c r="F44" s="108" t="s">
        <v>93</v>
      </c>
      <c r="G44" s="108" t="s">
        <v>184</v>
      </c>
      <c r="H44" s="107">
        <v>5997.6</v>
      </c>
      <c r="I44" s="107">
        <v>18489.280000000021</v>
      </c>
      <c r="J44" s="107"/>
    </row>
    <row r="47" spans="1:12" ht="16.2" thickBot="1" x14ac:dyDescent="0.35"/>
    <row r="48" spans="1:12" x14ac:dyDescent="0.3">
      <c r="G48" s="372">
        <v>45751</v>
      </c>
      <c r="H48" s="373"/>
    </row>
    <row r="49" spans="7:15" x14ac:dyDescent="0.3">
      <c r="G49" s="90" t="s">
        <v>141</v>
      </c>
      <c r="H49" s="91">
        <f>M55</f>
        <v>0</v>
      </c>
    </row>
    <row r="50" spans="7:15" x14ac:dyDescent="0.3">
      <c r="G50" s="90"/>
      <c r="H50" s="92"/>
    </row>
    <row r="51" spans="7:15" x14ac:dyDescent="0.3">
      <c r="G51" s="93"/>
      <c r="H51" s="94" t="s">
        <v>586</v>
      </c>
      <c r="I51" s="317" t="s">
        <v>619</v>
      </c>
      <c r="J51" s="317" t="s">
        <v>587</v>
      </c>
    </row>
    <row r="52" spans="7:15" x14ac:dyDescent="0.3">
      <c r="G52" s="95" t="s">
        <v>582</v>
      </c>
      <c r="H52" s="96">
        <f>H10+H12+H13+H14</f>
        <v>154876.38</v>
      </c>
      <c r="I52" s="316">
        <f t="shared" ref="I52:I58" si="0">H52/$H$61</f>
        <v>15.946908978583197</v>
      </c>
      <c r="J52" s="316">
        <f>I52/24</f>
        <v>0.66445454077429988</v>
      </c>
    </row>
    <row r="53" spans="7:15" x14ac:dyDescent="0.3">
      <c r="G53" s="95" t="str">
        <f>D7</f>
        <v>Craft Beverage Packaging Solutions</v>
      </c>
      <c r="H53" s="96">
        <f>H7+H8+H11+H33</f>
        <v>8232.57</v>
      </c>
      <c r="I53" s="316">
        <f t="shared" si="0"/>
        <v>0.84766989291598016</v>
      </c>
      <c r="J53" s="316">
        <f t="shared" ref="J53:J58" si="1">I53/24</f>
        <v>3.5319578871499176E-2</v>
      </c>
    </row>
    <row r="54" spans="7:15" x14ac:dyDescent="0.3">
      <c r="G54" s="95" t="str">
        <f>D9</f>
        <v>ORTHODOX UNION</v>
      </c>
      <c r="H54" s="97">
        <f>H9</f>
        <v>950</v>
      </c>
      <c r="I54" s="316">
        <f t="shared" si="0"/>
        <v>9.7817133443163104E-2</v>
      </c>
      <c r="J54" s="316">
        <f t="shared" si="1"/>
        <v>4.075713893465129E-3</v>
      </c>
    </row>
    <row r="55" spans="7:15" x14ac:dyDescent="0.3">
      <c r="G55" s="95" t="str">
        <f>D16</f>
        <v>AC CALDERONI*</v>
      </c>
      <c r="H55" s="98">
        <f>H16+H22+H23+H24+H25+H26+H27+H28+H20+H35+H36-H56</f>
        <v>21118.900000000005</v>
      </c>
      <c r="I55" s="316">
        <f t="shared" si="0"/>
        <v>2.174516062602966</v>
      </c>
      <c r="J55" s="316">
        <f t="shared" si="1"/>
        <v>9.0604835941790252E-2</v>
      </c>
      <c r="K55" t="s">
        <v>584</v>
      </c>
      <c r="N55" s="45"/>
      <c r="O55" s="2"/>
    </row>
    <row r="56" spans="7:15" x14ac:dyDescent="0.3">
      <c r="G56" s="95" t="s">
        <v>675</v>
      </c>
      <c r="H56" s="98">
        <f>H20</f>
        <v>5766.62</v>
      </c>
      <c r="I56" s="316">
        <f t="shared" si="0"/>
        <v>0.59376235584843495</v>
      </c>
      <c r="J56" s="316">
        <f t="shared" si="1"/>
        <v>2.4740098160351456E-2</v>
      </c>
      <c r="N56" s="45"/>
      <c r="O56" s="2"/>
    </row>
    <row r="57" spans="7:15" x14ac:dyDescent="0.3">
      <c r="G57" s="95" t="str">
        <f>D29</f>
        <v>TFC LLC</v>
      </c>
      <c r="H57" s="98">
        <f>H19+H21+H29+H30+H31+H32</f>
        <v>11245</v>
      </c>
      <c r="I57" s="316">
        <f t="shared" si="0"/>
        <v>1.157845963756178</v>
      </c>
      <c r="J57" s="316">
        <f t="shared" si="1"/>
        <v>4.8243581823174085E-2</v>
      </c>
    </row>
    <row r="58" spans="7:15" x14ac:dyDescent="0.3">
      <c r="G58" s="95" t="s">
        <v>585</v>
      </c>
      <c r="H58" s="98">
        <f>H15</f>
        <v>590.20000000000005</v>
      </c>
      <c r="I58" s="316">
        <f t="shared" si="0"/>
        <v>6.0770181219110382E-2</v>
      </c>
      <c r="J58" s="316">
        <f t="shared" si="1"/>
        <v>2.5320908841295993E-3</v>
      </c>
    </row>
    <row r="59" spans="7:15" x14ac:dyDescent="0.3">
      <c r="G59" s="95"/>
      <c r="H59" s="99"/>
      <c r="I59" s="348"/>
      <c r="J59" s="347"/>
    </row>
    <row r="60" spans="7:15" x14ac:dyDescent="0.3">
      <c r="G60" s="95" t="s">
        <v>583</v>
      </c>
      <c r="H60" s="97">
        <f>SUM(H52:H59)</f>
        <v>202779.67</v>
      </c>
      <c r="I60" s="316">
        <f>H60/$H$61</f>
        <v>20.879290568369029</v>
      </c>
      <c r="J60" s="316">
        <f>I60/24</f>
        <v>0.86997044034870952</v>
      </c>
      <c r="K60" s="2"/>
    </row>
    <row r="61" spans="7:15" x14ac:dyDescent="0.3">
      <c r="G61" s="95" t="s">
        <v>222</v>
      </c>
      <c r="H61" s="315">
        <f>H38</f>
        <v>9712</v>
      </c>
    </row>
    <row r="62" spans="7:15" x14ac:dyDescent="0.3">
      <c r="G62" s="100" t="s">
        <v>270</v>
      </c>
      <c r="H62" s="101">
        <f>H60/H61</f>
        <v>20.879290568369029</v>
      </c>
    </row>
    <row r="63" spans="7:15" x14ac:dyDescent="0.3">
      <c r="G63" s="95" t="s">
        <v>42</v>
      </c>
      <c r="H63" s="99">
        <v>28</v>
      </c>
    </row>
    <row r="64" spans="7:15" ht="16.2" thickBot="1" x14ac:dyDescent="0.35">
      <c r="G64" s="102" t="s">
        <v>79</v>
      </c>
      <c r="H64" s="103">
        <f>H63-H62</f>
        <v>7.1207094316309707</v>
      </c>
    </row>
    <row r="66" spans="7:11" ht="16.2" thickBot="1" x14ac:dyDescent="0.35"/>
    <row r="67" spans="7:11" x14ac:dyDescent="0.3">
      <c r="G67" s="372" t="s">
        <v>588</v>
      </c>
      <c r="H67" s="373"/>
    </row>
    <row r="68" spans="7:11" x14ac:dyDescent="0.3">
      <c r="G68" s="90" t="s">
        <v>141</v>
      </c>
      <c r="H68" s="91">
        <f>M74</f>
        <v>0</v>
      </c>
    </row>
    <row r="69" spans="7:11" x14ac:dyDescent="0.3">
      <c r="G69" s="90"/>
      <c r="H69" s="92"/>
    </row>
    <row r="70" spans="7:11" x14ac:dyDescent="0.3">
      <c r="G70" s="93"/>
      <c r="H70" s="94" t="s">
        <v>586</v>
      </c>
      <c r="I70" s="317" t="s">
        <v>619</v>
      </c>
      <c r="J70" s="317"/>
    </row>
    <row r="71" spans="7:11" x14ac:dyDescent="0.3">
      <c r="G71" s="95" t="s">
        <v>582</v>
      </c>
      <c r="H71" s="96">
        <f>H52</f>
        <v>154876.38</v>
      </c>
      <c r="I71" s="316">
        <f>H71/$H$61</f>
        <v>15.946908978583197</v>
      </c>
      <c r="J71" s="316">
        <f t="shared" ref="J71:J78" si="2">I71/24</f>
        <v>0.66445454077429988</v>
      </c>
    </row>
    <row r="72" spans="7:11" x14ac:dyDescent="0.3">
      <c r="G72" s="95" t="str">
        <f>D25</f>
        <v>AC CALDERONI*</v>
      </c>
      <c r="H72" s="96">
        <f>H53</f>
        <v>8232.57</v>
      </c>
      <c r="I72" s="316">
        <f t="shared" ref="I72:I76" si="3">H72/$H$61</f>
        <v>0.84766989291598016</v>
      </c>
      <c r="J72" s="316">
        <f t="shared" si="2"/>
        <v>3.5319578871499176E-2</v>
      </c>
    </row>
    <row r="73" spans="7:11" x14ac:dyDescent="0.3">
      <c r="G73" s="95" t="str">
        <f>D27</f>
        <v>AC CALDERONI*</v>
      </c>
      <c r="H73" s="96">
        <f>H54</f>
        <v>950</v>
      </c>
      <c r="I73" s="316">
        <f t="shared" si="3"/>
        <v>9.7817133443163104E-2</v>
      </c>
      <c r="J73" s="316">
        <f t="shared" si="2"/>
        <v>4.075713893465129E-3</v>
      </c>
    </row>
    <row r="74" spans="7:11" x14ac:dyDescent="0.3">
      <c r="G74" s="95">
        <f>D34</f>
        <v>0</v>
      </c>
      <c r="H74" s="96">
        <f>H55</f>
        <v>21118.900000000005</v>
      </c>
      <c r="I74" s="316">
        <f t="shared" si="3"/>
        <v>2.174516062602966</v>
      </c>
      <c r="J74" s="316">
        <f t="shared" si="2"/>
        <v>9.0604835941790252E-2</v>
      </c>
    </row>
    <row r="75" spans="7:11" x14ac:dyDescent="0.3">
      <c r="G75" s="95">
        <f>D47</f>
        <v>0</v>
      </c>
      <c r="H75" s="96">
        <f t="shared" ref="H75:H76" si="4">H57</f>
        <v>11245</v>
      </c>
      <c r="I75" s="316">
        <f t="shared" si="3"/>
        <v>1.157845963756178</v>
      </c>
      <c r="J75" s="316">
        <f t="shared" si="2"/>
        <v>4.8243581823174085E-2</v>
      </c>
    </row>
    <row r="76" spans="7:11" x14ac:dyDescent="0.3">
      <c r="G76" s="95" t="s">
        <v>585</v>
      </c>
      <c r="H76" s="96">
        <f t="shared" si="4"/>
        <v>590.20000000000005</v>
      </c>
      <c r="I76" s="316">
        <f t="shared" si="3"/>
        <v>6.0770181219110382E-2</v>
      </c>
      <c r="J76" s="316">
        <f t="shared" si="2"/>
        <v>2.5320908841295993E-3</v>
      </c>
    </row>
    <row r="77" spans="7:11" x14ac:dyDescent="0.3">
      <c r="G77" s="95" t="s">
        <v>588</v>
      </c>
      <c r="H77" s="99"/>
      <c r="I77" s="348">
        <f>'Paktech Pricing 2025'!L8</f>
        <v>1.1521097345132743</v>
      </c>
      <c r="J77" s="347">
        <f t="shared" si="2"/>
        <v>4.800457227138643E-2</v>
      </c>
    </row>
    <row r="78" spans="7:11" x14ac:dyDescent="0.3">
      <c r="G78" s="95" t="s">
        <v>583</v>
      </c>
      <c r="H78" s="97">
        <f>SUM(H71:H77)</f>
        <v>197013.05000000002</v>
      </c>
      <c r="I78" s="316">
        <f>H78/$H$61</f>
        <v>20.285528212520596</v>
      </c>
      <c r="J78" s="316">
        <f t="shared" si="2"/>
        <v>0.84523034218835813</v>
      </c>
      <c r="K78" s="2"/>
    </row>
    <row r="79" spans="7:11" x14ac:dyDescent="0.3">
      <c r="G79" s="95" t="s">
        <v>222</v>
      </c>
      <c r="H79" s="315">
        <f>H61</f>
        <v>9712</v>
      </c>
    </row>
    <row r="80" spans="7:11" x14ac:dyDescent="0.3">
      <c r="G80" s="100" t="s">
        <v>270</v>
      </c>
      <c r="H80" s="101">
        <f>H78/H79</f>
        <v>20.285528212520596</v>
      </c>
    </row>
    <row r="81" spans="7:8" x14ac:dyDescent="0.3">
      <c r="G81" s="95" t="s">
        <v>42</v>
      </c>
      <c r="H81" s="99">
        <v>28</v>
      </c>
    </row>
    <row r="82" spans="7:8" ht="16.2" thickBot="1" x14ac:dyDescent="0.35">
      <c r="G82" s="102" t="s">
        <v>79</v>
      </c>
      <c r="H82" s="103">
        <f>H81-H80</f>
        <v>7.714471787479404</v>
      </c>
    </row>
  </sheetData>
  <autoFilter ref="D1:D63" xr:uid="{BA4BD01B-8DEC-4400-A441-FF99424D2EA5}"/>
  <mergeCells count="5">
    <mergeCell ref="A1:H1"/>
    <mergeCell ref="A2:H2"/>
    <mergeCell ref="A3:H3"/>
    <mergeCell ref="G48:H48"/>
    <mergeCell ref="G67:H6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8BE1-449D-4BEE-BDE1-E5E34A0E1183}">
  <dimension ref="A3:AI88"/>
  <sheetViews>
    <sheetView topLeftCell="A64" workbookViewId="0">
      <selection activeCell="E35" sqref="E35"/>
    </sheetView>
  </sheetViews>
  <sheetFormatPr defaultRowHeight="15.6" x14ac:dyDescent="0.3"/>
  <cols>
    <col min="1" max="1" width="14.19921875" customWidth="1"/>
    <col min="2" max="2" width="21.59765625" bestFit="1" customWidth="1"/>
    <col min="3" max="3" width="8.59765625" customWidth="1"/>
    <col min="4" max="4" width="22.69921875" customWidth="1"/>
    <col min="5" max="6" width="14.3984375" bestFit="1" customWidth="1"/>
    <col min="7" max="7" width="13.5" bestFit="1" customWidth="1"/>
    <col min="8" max="8" width="16.59765625" customWidth="1"/>
    <col min="9" max="9" width="9.09765625" bestFit="1" customWidth="1"/>
    <col min="12" max="12" width="14.69921875" customWidth="1"/>
    <col min="27" max="27" width="16.19921875" bestFit="1" customWidth="1"/>
    <col min="28" max="28" width="13.19921875" bestFit="1" customWidth="1"/>
    <col min="33" max="33" width="10.09765625" bestFit="1" customWidth="1"/>
    <col min="34" max="34" width="9.09765625" bestFit="1" customWidth="1"/>
    <col min="35" max="35" width="14.3984375" bestFit="1" customWidth="1"/>
    <col min="36" max="36" width="16" bestFit="1" customWidth="1"/>
    <col min="37" max="37" width="12.8984375" bestFit="1" customWidth="1"/>
  </cols>
  <sheetData>
    <row r="3" spans="1:35" x14ac:dyDescent="0.3">
      <c r="A3" t="s">
        <v>278</v>
      </c>
      <c r="B3" t="s">
        <v>279</v>
      </c>
    </row>
    <row r="4" spans="1:35" x14ac:dyDescent="0.3">
      <c r="A4" s="151" t="s">
        <v>280</v>
      </c>
      <c r="B4">
        <v>480</v>
      </c>
    </row>
    <row r="5" spans="1:35" x14ac:dyDescent="0.3">
      <c r="A5" s="151" t="s">
        <v>281</v>
      </c>
      <c r="B5">
        <v>695</v>
      </c>
    </row>
    <row r="6" spans="1:35" x14ac:dyDescent="0.3">
      <c r="A6" s="151" t="s">
        <v>282</v>
      </c>
      <c r="B6">
        <v>387</v>
      </c>
    </row>
    <row r="7" spans="1:35" x14ac:dyDescent="0.3">
      <c r="A7" s="151" t="s">
        <v>284</v>
      </c>
      <c r="B7">
        <v>557</v>
      </c>
    </row>
    <row r="8" spans="1:35" x14ac:dyDescent="0.3">
      <c r="A8" s="151" t="s">
        <v>285</v>
      </c>
      <c r="B8">
        <v>37</v>
      </c>
    </row>
    <row r="9" spans="1:35" x14ac:dyDescent="0.3">
      <c r="A9" s="151" t="s">
        <v>286</v>
      </c>
      <c r="B9">
        <v>186</v>
      </c>
    </row>
    <row r="10" spans="1:35" x14ac:dyDescent="0.3">
      <c r="A10" s="151" t="s">
        <v>287</v>
      </c>
      <c r="B10">
        <v>2342</v>
      </c>
    </row>
    <row r="14" spans="1:35" x14ac:dyDescent="0.3">
      <c r="A14" t="s">
        <v>313</v>
      </c>
    </row>
    <row r="16" spans="1:35" x14ac:dyDescent="0.3">
      <c r="AI16" s="81"/>
    </row>
    <row r="25" spans="1:35" x14ac:dyDescent="0.3">
      <c r="F25" t="s">
        <v>288</v>
      </c>
      <c r="G25" t="s">
        <v>289</v>
      </c>
      <c r="H25" t="s">
        <v>290</v>
      </c>
      <c r="I25" t="s">
        <v>291</v>
      </c>
      <c r="J25" t="s">
        <v>292</v>
      </c>
      <c r="K25" t="s">
        <v>293</v>
      </c>
      <c r="L25" t="s">
        <v>300</v>
      </c>
      <c r="M25" t="s">
        <v>301</v>
      </c>
      <c r="N25" t="s">
        <v>304</v>
      </c>
      <c r="O25" t="s">
        <v>303</v>
      </c>
    </row>
    <row r="26" spans="1:35" ht="16.2" thickBot="1" x14ac:dyDescent="0.35">
      <c r="F26">
        <v>1000</v>
      </c>
      <c r="G26">
        <f t="shared" ref="G26:M26" si="0">F26+100</f>
        <v>1100</v>
      </c>
      <c r="H26">
        <f t="shared" si="0"/>
        <v>1200</v>
      </c>
      <c r="I26">
        <f t="shared" si="0"/>
        <v>1300</v>
      </c>
      <c r="J26">
        <f t="shared" si="0"/>
        <v>1400</v>
      </c>
      <c r="K26">
        <f t="shared" si="0"/>
        <v>1500</v>
      </c>
      <c r="L26">
        <f t="shared" si="0"/>
        <v>1600</v>
      </c>
      <c r="M26">
        <f t="shared" si="0"/>
        <v>1700</v>
      </c>
      <c r="P26" t="s">
        <v>302</v>
      </c>
      <c r="Q26" t="s">
        <v>305</v>
      </c>
      <c r="R26" t="s">
        <v>300</v>
      </c>
      <c r="AE26" s="159"/>
      <c r="AG26" s="21"/>
      <c r="AH26" s="26"/>
      <c r="AI26" s="160"/>
    </row>
    <row r="27" spans="1:35" x14ac:dyDescent="0.3">
      <c r="A27" t="str">
        <f t="shared" ref="A27:B30" si="1">A4</f>
        <v>24P121091 HANGAR 25 DIET COLA CASE</v>
      </c>
      <c r="B27">
        <f t="shared" si="1"/>
        <v>480</v>
      </c>
      <c r="D27" s="152">
        <f t="shared" ref="D27:D32" si="2">B27/$B$33</f>
        <v>0.19269369731031713</v>
      </c>
      <c r="E27" s="152">
        <f>D28</f>
        <v>0.27900441589723002</v>
      </c>
      <c r="F27" s="21">
        <f t="shared" ref="F27:M32" si="3">F$26*$E27</f>
        <v>279.00441589723005</v>
      </c>
      <c r="G27" s="21">
        <f t="shared" si="3"/>
        <v>306.90485748695301</v>
      </c>
      <c r="H27" s="21">
        <f t="shared" si="3"/>
        <v>334.80529907667602</v>
      </c>
      <c r="I27" s="21">
        <f t="shared" si="3"/>
        <v>362.70574066639904</v>
      </c>
      <c r="J27" s="21">
        <f t="shared" si="3"/>
        <v>390.606182256122</v>
      </c>
      <c r="K27" s="21">
        <f t="shared" si="3"/>
        <v>418.50662384584501</v>
      </c>
      <c r="L27" s="21">
        <f t="shared" si="3"/>
        <v>446.40706543556803</v>
      </c>
      <c r="M27" s="21">
        <f t="shared" si="3"/>
        <v>474.30750702529105</v>
      </c>
      <c r="N27" s="21">
        <f t="shared" ref="N27:N32" si="4">SUM(F27:L27)</f>
        <v>2538.9401846647925</v>
      </c>
      <c r="O27" s="21">
        <f t="shared" ref="O27:O32" si="5">SUM(F27:M27)</f>
        <v>3013.2476916900837</v>
      </c>
      <c r="P27" s="21" t="e">
        <f>'Quantum Run 04042025'!#REF!</f>
        <v>#REF!</v>
      </c>
      <c r="Q27" s="153" t="e">
        <f t="shared" ref="Q27:Q32" si="6">O27/P27</f>
        <v>#REF!</v>
      </c>
      <c r="R27" s="153" t="e">
        <f t="shared" ref="R27:R32" si="7">N27/$P$27</f>
        <v>#REF!</v>
      </c>
      <c r="AF27" s="374" t="s">
        <v>306</v>
      </c>
      <c r="AG27" s="375"/>
      <c r="AH27" t="s">
        <v>309</v>
      </c>
    </row>
    <row r="28" spans="1:35" ht="16.2" thickBot="1" x14ac:dyDescent="0.35">
      <c r="A28" t="str">
        <f t="shared" si="1"/>
        <v>24P126121 HANGAR 25 COLA CASE</v>
      </c>
      <c r="B28">
        <f t="shared" si="1"/>
        <v>695</v>
      </c>
      <c r="D28" s="152">
        <f t="shared" si="2"/>
        <v>0.27900441589723002</v>
      </c>
      <c r="E28" s="152">
        <f>D30</f>
        <v>0.22360497792051384</v>
      </c>
      <c r="F28" s="21">
        <f t="shared" si="3"/>
        <v>223.60497792051385</v>
      </c>
      <c r="G28" s="21">
        <f t="shared" si="3"/>
        <v>245.96547571256522</v>
      </c>
      <c r="H28" s="21">
        <f t="shared" si="3"/>
        <v>268.32597350461663</v>
      </c>
      <c r="I28" s="21">
        <f t="shared" si="3"/>
        <v>290.686471296668</v>
      </c>
      <c r="J28" s="21">
        <f t="shared" si="3"/>
        <v>313.04696908871938</v>
      </c>
      <c r="K28" s="21">
        <f t="shared" si="3"/>
        <v>335.40746688077076</v>
      </c>
      <c r="L28" s="21">
        <f t="shared" si="3"/>
        <v>357.76796467282213</v>
      </c>
      <c r="M28" s="21">
        <f t="shared" si="3"/>
        <v>380.12846246487351</v>
      </c>
      <c r="N28" s="21">
        <f t="shared" si="4"/>
        <v>2034.805299076676</v>
      </c>
      <c r="O28" s="21">
        <f t="shared" si="5"/>
        <v>2414.9337615415493</v>
      </c>
      <c r="P28" s="21" t="e">
        <f>'Quantum Run 04042025'!#REF!</f>
        <v>#REF!</v>
      </c>
      <c r="Q28" s="153" t="e">
        <f t="shared" si="6"/>
        <v>#REF!</v>
      </c>
      <c r="R28" s="153" t="e">
        <f t="shared" si="7"/>
        <v>#REF!</v>
      </c>
      <c r="AF28" s="162" t="s">
        <v>307</v>
      </c>
      <c r="AG28" s="163" t="s">
        <v>308</v>
      </c>
      <c r="AH28" s="147" t="s">
        <v>243</v>
      </c>
      <c r="AI28" s="147" t="s">
        <v>222</v>
      </c>
    </row>
    <row r="29" spans="1:35" x14ac:dyDescent="0.3">
      <c r="A29" t="str">
        <f t="shared" si="1"/>
        <v>24P126141 CABLE CAR LEMON LIME CASE</v>
      </c>
      <c r="B29">
        <f t="shared" si="1"/>
        <v>387</v>
      </c>
      <c r="D29" s="152">
        <f t="shared" si="2"/>
        <v>0.1553592934564432</v>
      </c>
      <c r="E29" s="152">
        <f>D27</f>
        <v>0.19269369731031713</v>
      </c>
      <c r="F29" s="21">
        <f t="shared" si="3"/>
        <v>192.69369731031713</v>
      </c>
      <c r="G29" s="21">
        <f t="shared" si="3"/>
        <v>211.96306704134884</v>
      </c>
      <c r="H29" s="21">
        <f t="shared" si="3"/>
        <v>231.23243677238057</v>
      </c>
      <c r="I29" s="21">
        <f t="shared" si="3"/>
        <v>250.50180650341227</v>
      </c>
      <c r="J29" s="21">
        <f t="shared" si="3"/>
        <v>269.771176234444</v>
      </c>
      <c r="K29" s="21">
        <f t="shared" si="3"/>
        <v>289.0405459654757</v>
      </c>
      <c r="L29" s="21">
        <f t="shared" si="3"/>
        <v>308.3099156965074</v>
      </c>
      <c r="M29" s="21">
        <f t="shared" si="3"/>
        <v>327.57928542753911</v>
      </c>
      <c r="N29" s="21">
        <f t="shared" si="4"/>
        <v>1753.512645523886</v>
      </c>
      <c r="O29" s="21">
        <f t="shared" si="5"/>
        <v>2081.0919309514252</v>
      </c>
      <c r="P29" s="21" t="e">
        <f>'Quantum Run 04042025'!#REF!</f>
        <v>#REF!</v>
      </c>
      <c r="Q29" s="153" t="e">
        <f t="shared" si="6"/>
        <v>#REF!</v>
      </c>
      <c r="R29" s="153" t="e">
        <f t="shared" si="7"/>
        <v>#REF!</v>
      </c>
      <c r="AE29" s="68" t="s">
        <v>214</v>
      </c>
      <c r="AF29" s="153">
        <v>2.4304227156276688</v>
      </c>
      <c r="AG29" s="21"/>
      <c r="AH29" s="160">
        <f>AF29*26666</f>
        <v>64809.652134927412</v>
      </c>
      <c r="AI29" s="160">
        <f>AH29/24</f>
        <v>2700.4021722886423</v>
      </c>
    </row>
    <row r="30" spans="1:35" x14ac:dyDescent="0.3">
      <c r="A30" t="str">
        <f t="shared" si="1"/>
        <v>24P126151 OAKTOWN ROOTBEER CASE</v>
      </c>
      <c r="B30">
        <f t="shared" si="1"/>
        <v>557</v>
      </c>
      <c r="D30" s="152">
        <f t="shared" si="2"/>
        <v>0.22360497792051384</v>
      </c>
      <c r="E30" s="152">
        <f>D29</f>
        <v>0.1553592934564432</v>
      </c>
      <c r="F30" s="21">
        <f t="shared" si="3"/>
        <v>155.3592934564432</v>
      </c>
      <c r="G30" s="21">
        <f t="shared" si="3"/>
        <v>170.89522280208752</v>
      </c>
      <c r="H30" s="21">
        <f t="shared" si="3"/>
        <v>186.43115214773184</v>
      </c>
      <c r="I30" s="21">
        <f t="shared" si="3"/>
        <v>201.96708149337616</v>
      </c>
      <c r="J30" s="21">
        <f t="shared" si="3"/>
        <v>217.50301083902048</v>
      </c>
      <c r="K30" s="21">
        <f t="shared" si="3"/>
        <v>233.0389401846648</v>
      </c>
      <c r="L30" s="21">
        <f t="shared" si="3"/>
        <v>248.57486953030912</v>
      </c>
      <c r="M30" s="21">
        <f t="shared" si="3"/>
        <v>264.11079887595344</v>
      </c>
      <c r="N30" s="21">
        <f t="shared" si="4"/>
        <v>1413.7695704536329</v>
      </c>
      <c r="O30" s="21">
        <f t="shared" si="5"/>
        <v>1677.8803693295863</v>
      </c>
      <c r="P30" s="21" t="e">
        <f>'Quantum Run 04042025'!#REF!</f>
        <v>#REF!</v>
      </c>
      <c r="Q30" s="153" t="e">
        <f t="shared" si="6"/>
        <v>#REF!</v>
      </c>
      <c r="R30" s="153" t="e">
        <f t="shared" si="7"/>
        <v>#REF!</v>
      </c>
      <c r="AE30" s="68" t="s">
        <v>224</v>
      </c>
      <c r="AF30" s="156">
        <v>1.9478351836037573</v>
      </c>
      <c r="AG30" s="54"/>
      <c r="AH30" s="160">
        <f>AF30*26666</f>
        <v>51940.973005977794</v>
      </c>
      <c r="AI30" s="160">
        <f>AH30/24</f>
        <v>2164.2072085824079</v>
      </c>
    </row>
    <row r="31" spans="1:35" x14ac:dyDescent="0.3">
      <c r="A31" t="str">
        <f>A8</f>
        <v>24P126471 LOST ISLAND GINGER BEER CASE</v>
      </c>
      <c r="B31" s="81">
        <f>B9</f>
        <v>186</v>
      </c>
      <c r="C31" s="81"/>
      <c r="D31" s="169">
        <f t="shared" si="2"/>
        <v>7.4668807707747892E-2</v>
      </c>
      <c r="E31" s="152">
        <f>D32</f>
        <v>7.4668807707747892E-2</v>
      </c>
      <c r="F31" s="21">
        <f t="shared" si="3"/>
        <v>74.668807707747888</v>
      </c>
      <c r="G31" s="21">
        <f t="shared" si="3"/>
        <v>82.135688478522681</v>
      </c>
      <c r="H31" s="21">
        <f t="shared" si="3"/>
        <v>89.602569249297474</v>
      </c>
      <c r="I31" s="21">
        <f t="shared" si="3"/>
        <v>97.069450020072253</v>
      </c>
      <c r="J31" s="21">
        <f t="shared" si="3"/>
        <v>104.53633079084705</v>
      </c>
      <c r="K31" s="21">
        <f t="shared" si="3"/>
        <v>112.00321156162184</v>
      </c>
      <c r="L31" s="21">
        <f t="shared" si="3"/>
        <v>119.47009233239663</v>
      </c>
      <c r="M31" s="21">
        <f t="shared" si="3"/>
        <v>126.93697310317141</v>
      </c>
      <c r="N31" s="21">
        <f t="shared" si="4"/>
        <v>679.48615014050574</v>
      </c>
      <c r="O31" s="21">
        <f t="shared" si="5"/>
        <v>806.4231232436772</v>
      </c>
      <c r="P31" s="21" t="e">
        <f>'Quantum Run 04042025'!#REF!</f>
        <v>#REF!</v>
      </c>
      <c r="Q31" s="153" t="e">
        <f t="shared" si="6"/>
        <v>#REF!</v>
      </c>
      <c r="R31" s="153" t="e">
        <f t="shared" si="7"/>
        <v>#REF!</v>
      </c>
      <c r="AE31" s="68" t="s">
        <v>283</v>
      </c>
      <c r="AF31" s="153">
        <v>1.6785653287788214</v>
      </c>
      <c r="AG31" s="21"/>
      <c r="AH31" s="160">
        <f>AF31*26666</f>
        <v>44760.623057216049</v>
      </c>
      <c r="AI31" s="160">
        <f>AH31/24</f>
        <v>1865.0259607173355</v>
      </c>
    </row>
    <row r="32" spans="1:35" x14ac:dyDescent="0.3">
      <c r="A32" t="str">
        <f>A9</f>
        <v>24P126481 GOLDEN GATE ORANGE CASE</v>
      </c>
      <c r="B32">
        <f>B9</f>
        <v>186</v>
      </c>
      <c r="D32" s="152">
        <f t="shared" si="2"/>
        <v>7.4668807707747892E-2</v>
      </c>
      <c r="E32" s="152">
        <f>D31</f>
        <v>7.4668807707747892E-2</v>
      </c>
      <c r="F32" s="21">
        <f t="shared" si="3"/>
        <v>74.668807707747888</v>
      </c>
      <c r="G32" s="21">
        <f t="shared" si="3"/>
        <v>82.135688478522681</v>
      </c>
      <c r="H32" s="21">
        <f t="shared" si="3"/>
        <v>89.602569249297474</v>
      </c>
      <c r="I32" s="21">
        <f t="shared" si="3"/>
        <v>97.069450020072253</v>
      </c>
      <c r="J32" s="21">
        <f t="shared" si="3"/>
        <v>104.53633079084705</v>
      </c>
      <c r="K32" s="21">
        <f t="shared" si="3"/>
        <v>112.00321156162184</v>
      </c>
      <c r="L32" s="21">
        <f t="shared" si="3"/>
        <v>119.47009233239663</v>
      </c>
      <c r="M32" s="21">
        <f t="shared" si="3"/>
        <v>126.93697310317141</v>
      </c>
      <c r="N32" s="21">
        <f t="shared" si="4"/>
        <v>679.48615014050574</v>
      </c>
      <c r="O32" s="21">
        <f t="shared" si="5"/>
        <v>806.4231232436772</v>
      </c>
      <c r="P32" s="21" t="e">
        <f>'Quantum Run 04042025'!#REF!</f>
        <v>#REF!</v>
      </c>
      <c r="Q32" s="153" t="e">
        <f t="shared" si="6"/>
        <v>#REF!</v>
      </c>
      <c r="R32" s="153" t="e">
        <f t="shared" si="7"/>
        <v>#REF!</v>
      </c>
      <c r="AE32" s="68" t="s">
        <v>223</v>
      </c>
      <c r="AF32" s="153">
        <v>1.353343296327925</v>
      </c>
      <c r="AG32" s="21"/>
      <c r="AH32" s="160">
        <f>AF32*26666</f>
        <v>36088.252339880448</v>
      </c>
      <c r="AI32" s="160">
        <f>AH32/24</f>
        <v>1503.677180828352</v>
      </c>
    </row>
    <row r="33" spans="1:35" x14ac:dyDescent="0.3">
      <c r="B33">
        <f>SUM(B27:B32)</f>
        <v>2491</v>
      </c>
      <c r="E33" s="8"/>
      <c r="F33" s="21"/>
      <c r="G33" s="21"/>
      <c r="H33" s="21"/>
      <c r="I33" s="21"/>
      <c r="J33" s="21"/>
      <c r="K33" s="21"/>
      <c r="L33" s="21"/>
      <c r="M33" s="21"/>
      <c r="N33" s="21"/>
      <c r="O33" s="21">
        <f>SUM(O27:O32)</f>
        <v>10800</v>
      </c>
      <c r="Q33" s="153" t="e">
        <f>SUM(Q27:Q32)</f>
        <v>#REF!</v>
      </c>
      <c r="R33" s="153" t="e">
        <f>SUM(R27:R32)</f>
        <v>#REF!</v>
      </c>
      <c r="AE33" s="68" t="s">
        <v>145</v>
      </c>
      <c r="AF33" s="153">
        <v>0.6504440649017933</v>
      </c>
      <c r="AG33" s="21"/>
      <c r="AH33" s="160">
        <f>AF33*26666</f>
        <v>17344.741434671221</v>
      </c>
      <c r="AI33" s="160">
        <f>AH33/24</f>
        <v>722.69755977796751</v>
      </c>
    </row>
    <row r="34" spans="1:35" x14ac:dyDescent="0.3">
      <c r="AD34" s="68" t="s">
        <v>296</v>
      </c>
      <c r="AE34" s="157">
        <v>0.6504440649017933</v>
      </c>
      <c r="AF34" s="158"/>
      <c r="AG34" s="160">
        <f>AE34*26666</f>
        <v>17344.741434671221</v>
      </c>
      <c r="AH34" s="160">
        <f>AG34/24</f>
        <v>722.69755977796751</v>
      </c>
    </row>
    <row r="35" spans="1:35" x14ac:dyDescent="0.3">
      <c r="AD35" s="159" t="s">
        <v>150</v>
      </c>
      <c r="AE35" s="153">
        <f>SUM(AE29:AE34)</f>
        <v>0.6504440649017933</v>
      </c>
      <c r="AF35" s="164"/>
      <c r="AG35" s="165">
        <f>SUM(AG29:AG34)</f>
        <v>17344.741434671221</v>
      </c>
      <c r="AH35" s="166">
        <f>AG35/24</f>
        <v>722.69755977796751</v>
      </c>
    </row>
    <row r="36" spans="1:35" x14ac:dyDescent="0.3">
      <c r="A36" s="168" t="s">
        <v>316</v>
      </c>
      <c r="B36" s="171">
        <v>202300</v>
      </c>
      <c r="C36" s="171"/>
      <c r="D36" t="s">
        <v>334</v>
      </c>
    </row>
    <row r="37" spans="1:35" x14ac:dyDescent="0.3">
      <c r="A37" s="159" t="s">
        <v>320</v>
      </c>
      <c r="B37" s="182">
        <v>1000</v>
      </c>
      <c r="C37" s="192"/>
      <c r="D37" s="40" t="s">
        <v>335</v>
      </c>
    </row>
    <row r="38" spans="1:35" x14ac:dyDescent="0.3">
      <c r="A38" s="159" t="s">
        <v>321</v>
      </c>
      <c r="B38" s="166">
        <f>(B37*128)/12</f>
        <v>10666.666666666666</v>
      </c>
      <c r="C38" s="166"/>
    </row>
    <row r="39" spans="1:35" x14ac:dyDescent="0.3">
      <c r="A39" s="159"/>
      <c r="B39" s="166"/>
      <c r="C39" s="166"/>
    </row>
    <row r="40" spans="1:35" x14ac:dyDescent="0.3">
      <c r="D40" s="147"/>
      <c r="F40" s="81"/>
    </row>
    <row r="41" spans="1:35" x14ac:dyDescent="0.3">
      <c r="B41" s="198" t="s">
        <v>337</v>
      </c>
      <c r="C41" s="198" t="s">
        <v>336</v>
      </c>
      <c r="D41" s="198" t="s">
        <v>319</v>
      </c>
      <c r="E41" s="198" t="s">
        <v>222</v>
      </c>
      <c r="F41" s="198" t="s">
        <v>310</v>
      </c>
      <c r="G41" s="198" t="s">
        <v>312</v>
      </c>
      <c r="H41" s="198" t="s">
        <v>311</v>
      </c>
    </row>
    <row r="42" spans="1:35" x14ac:dyDescent="0.3">
      <c r="A42" s="168" t="s">
        <v>214</v>
      </c>
      <c r="B42" s="175">
        <f t="shared" ref="B42:B47" si="8">C42*$B$36</f>
        <v>55085.253763154389</v>
      </c>
      <c r="C42" s="195">
        <v>0.27229487772196931</v>
      </c>
      <c r="D42" s="172">
        <f t="shared" ref="D42:D47" si="9">B42/$B$38</f>
        <v>5.1642425402957244</v>
      </c>
      <c r="E42" s="160">
        <f t="shared" ref="E42:E47" si="10">B42/24</f>
        <v>2295.2189067980994</v>
      </c>
      <c r="F42" s="26">
        <f t="shared" ref="F42:F47" si="11">B42*12</f>
        <v>661023.0451578527</v>
      </c>
      <c r="G42" s="26">
        <f t="shared" ref="G42:G47" si="12">F42/6</f>
        <v>110170.50752630878</v>
      </c>
      <c r="H42" s="26">
        <f t="shared" ref="H42:H47" si="13">G42/128</f>
        <v>860.70709004928733</v>
      </c>
    </row>
    <row r="43" spans="1:35" x14ac:dyDescent="0.3">
      <c r="A43" s="168" t="s">
        <v>224</v>
      </c>
      <c r="B43" s="175">
        <f t="shared" si="8"/>
        <v>44147.462368456108</v>
      </c>
      <c r="C43" s="195">
        <v>0.21822769336854231</v>
      </c>
      <c r="D43" s="172">
        <f t="shared" si="9"/>
        <v>4.1388245970427606</v>
      </c>
      <c r="E43" s="160">
        <f t="shared" si="10"/>
        <v>1839.4775986856712</v>
      </c>
      <c r="F43" s="26">
        <f t="shared" si="11"/>
        <v>529769.54842147324</v>
      </c>
      <c r="G43" s="26">
        <f t="shared" si="12"/>
        <v>88294.924736912202</v>
      </c>
      <c r="H43" s="26">
        <f t="shared" si="13"/>
        <v>689.80409950712658</v>
      </c>
    </row>
    <row r="44" spans="1:35" x14ac:dyDescent="0.3">
      <c r="A44" s="168" t="s">
        <v>283</v>
      </c>
      <c r="B44" s="175">
        <f t="shared" si="8"/>
        <v>38044.491807646205</v>
      </c>
      <c r="C44" s="195">
        <v>0.18805977166409393</v>
      </c>
      <c r="D44" s="172">
        <f t="shared" si="9"/>
        <v>3.5666711069668318</v>
      </c>
      <c r="E44" s="160">
        <f t="shared" si="10"/>
        <v>1585.1871586519253</v>
      </c>
      <c r="F44" s="26">
        <f t="shared" si="11"/>
        <v>456533.90169175446</v>
      </c>
      <c r="G44" s="26">
        <f t="shared" si="12"/>
        <v>76088.983615292411</v>
      </c>
      <c r="H44" s="26">
        <f t="shared" si="13"/>
        <v>594.44518449447196</v>
      </c>
      <c r="I44" s="4">
        <f>F44/128</f>
        <v>3566.6711069668318</v>
      </c>
    </row>
    <row r="45" spans="1:35" x14ac:dyDescent="0.3">
      <c r="A45" s="168" t="s">
        <v>223</v>
      </c>
      <c r="B45" s="175">
        <f t="shared" si="8"/>
        <v>30673.371519914748</v>
      </c>
      <c r="C45" s="195">
        <v>0.15162319090417573</v>
      </c>
      <c r="D45" s="172">
        <f t="shared" si="9"/>
        <v>2.8756285799920076</v>
      </c>
      <c r="E45" s="160">
        <f t="shared" si="10"/>
        <v>1278.0571466631145</v>
      </c>
      <c r="F45" s="26">
        <f t="shared" si="11"/>
        <v>368080.45823897701</v>
      </c>
      <c r="G45" s="26">
        <f t="shared" si="12"/>
        <v>61346.743039829504</v>
      </c>
      <c r="H45" s="26">
        <f t="shared" si="13"/>
        <v>479.271429998668</v>
      </c>
    </row>
    <row r="46" spans="1:35" x14ac:dyDescent="0.3">
      <c r="A46" s="168" t="s">
        <v>145</v>
      </c>
      <c r="B46" s="175">
        <f t="shared" si="8"/>
        <v>14742.240575462902</v>
      </c>
      <c r="C46" s="195">
        <v>7.2873161519836388E-2</v>
      </c>
      <c r="D46" s="172">
        <f t="shared" si="9"/>
        <v>1.3820850539496472</v>
      </c>
      <c r="E46" s="160">
        <f t="shared" si="10"/>
        <v>614.2600239776209</v>
      </c>
      <c r="F46" s="26">
        <f t="shared" si="11"/>
        <v>176906.88690555483</v>
      </c>
      <c r="G46" s="26">
        <f t="shared" si="12"/>
        <v>29484.481150925803</v>
      </c>
      <c r="H46" s="26">
        <f t="shared" si="13"/>
        <v>230.34750899160784</v>
      </c>
    </row>
    <row r="47" spans="1:35" x14ac:dyDescent="0.3">
      <c r="A47" s="168" t="s">
        <v>296</v>
      </c>
      <c r="B47" s="176">
        <f t="shared" si="8"/>
        <v>19607.17996536566</v>
      </c>
      <c r="C47" s="197">
        <v>9.6921304821382406E-2</v>
      </c>
      <c r="D47" s="173">
        <f t="shared" si="9"/>
        <v>1.8381731217530308</v>
      </c>
      <c r="E47" s="161">
        <f t="shared" si="10"/>
        <v>816.96583189023579</v>
      </c>
      <c r="F47" s="167">
        <f t="shared" si="11"/>
        <v>235286.1595843879</v>
      </c>
      <c r="G47" s="167">
        <f t="shared" si="12"/>
        <v>39214.35993073132</v>
      </c>
      <c r="H47" s="167">
        <f t="shared" si="13"/>
        <v>306.36218695883844</v>
      </c>
    </row>
    <row r="48" spans="1:35" x14ac:dyDescent="0.3">
      <c r="A48" s="159" t="s">
        <v>150</v>
      </c>
      <c r="B48" s="170">
        <f t="shared" ref="B48:H48" si="14">SUM(B42:B47)</f>
        <v>202300</v>
      </c>
      <c r="C48" s="196">
        <f t="shared" si="14"/>
        <v>1.0000000000000002</v>
      </c>
      <c r="D48" s="174">
        <f t="shared" si="14"/>
        <v>18.965624999999999</v>
      </c>
      <c r="E48" s="165">
        <f t="shared" si="14"/>
        <v>8429.1666666666679</v>
      </c>
      <c r="F48" s="165">
        <f t="shared" si="14"/>
        <v>2427600</v>
      </c>
      <c r="G48" s="165">
        <f t="shared" si="14"/>
        <v>404599.99999999994</v>
      </c>
      <c r="H48" s="165">
        <f t="shared" si="14"/>
        <v>3160.9374999999995</v>
      </c>
    </row>
    <row r="53" spans="1:9" x14ac:dyDescent="0.3">
      <c r="A53" s="200" t="s">
        <v>378</v>
      </c>
      <c r="B53" s="201" t="s">
        <v>322</v>
      </c>
      <c r="C53" s="201" t="s">
        <v>319</v>
      </c>
      <c r="D53" s="202" t="s">
        <v>323</v>
      </c>
      <c r="E53" s="201" t="s">
        <v>243</v>
      </c>
      <c r="F53" s="201" t="s">
        <v>222</v>
      </c>
      <c r="G53" s="201" t="s">
        <v>310</v>
      </c>
      <c r="H53" s="201" t="s">
        <v>312</v>
      </c>
      <c r="I53" s="201" t="s">
        <v>311</v>
      </c>
    </row>
    <row r="54" spans="1:9" x14ac:dyDescent="0.3">
      <c r="A54" s="203" t="s">
        <v>214</v>
      </c>
      <c r="B54" s="204" t="s">
        <v>342</v>
      </c>
      <c r="C54" s="204">
        <v>6.5</v>
      </c>
      <c r="D54" s="205">
        <v>6</v>
      </c>
      <c r="E54" s="206" t="s">
        <v>343</v>
      </c>
      <c r="F54" s="206" t="s">
        <v>344</v>
      </c>
      <c r="G54" s="206" t="s">
        <v>345</v>
      </c>
      <c r="H54" s="206" t="s">
        <v>346</v>
      </c>
      <c r="I54" s="206" t="s">
        <v>347</v>
      </c>
    </row>
    <row r="55" spans="1:9" x14ac:dyDescent="0.3">
      <c r="A55" s="203" t="s">
        <v>224</v>
      </c>
      <c r="B55" s="204" t="s">
        <v>348</v>
      </c>
      <c r="C55" s="204">
        <v>5.2</v>
      </c>
      <c r="D55" s="205">
        <v>5</v>
      </c>
      <c r="E55" s="206" t="s">
        <v>349</v>
      </c>
      <c r="F55" s="206" t="s">
        <v>350</v>
      </c>
      <c r="G55" s="206" t="s">
        <v>351</v>
      </c>
      <c r="H55" s="206" t="s">
        <v>352</v>
      </c>
      <c r="I55" s="206" t="s">
        <v>353</v>
      </c>
    </row>
    <row r="56" spans="1:9" x14ac:dyDescent="0.3">
      <c r="A56" s="203" t="s">
        <v>283</v>
      </c>
      <c r="B56" s="204" t="s">
        <v>354</v>
      </c>
      <c r="C56" s="204">
        <v>4.5</v>
      </c>
      <c r="D56" s="205">
        <v>4</v>
      </c>
      <c r="E56" s="206" t="s">
        <v>355</v>
      </c>
      <c r="F56" s="206" t="s">
        <v>356</v>
      </c>
      <c r="G56" s="206" t="s">
        <v>357</v>
      </c>
      <c r="H56" s="206" t="s">
        <v>358</v>
      </c>
      <c r="I56" s="206" t="s">
        <v>359</v>
      </c>
    </row>
    <row r="57" spans="1:9" x14ac:dyDescent="0.3">
      <c r="A57" s="203" t="s">
        <v>223</v>
      </c>
      <c r="B57" s="204" t="s">
        <v>360</v>
      </c>
      <c r="C57" s="204">
        <v>3.6</v>
      </c>
      <c r="D57" s="205">
        <v>3</v>
      </c>
      <c r="E57" s="206" t="s">
        <v>361</v>
      </c>
      <c r="F57" s="206" t="s">
        <v>362</v>
      </c>
      <c r="G57" s="206" t="s">
        <v>363</v>
      </c>
      <c r="H57" s="206" t="s">
        <v>364</v>
      </c>
      <c r="I57" s="206" t="s">
        <v>365</v>
      </c>
    </row>
    <row r="58" spans="1:9" x14ac:dyDescent="0.3">
      <c r="A58" s="203" t="s">
        <v>145</v>
      </c>
      <c r="B58" s="204" t="s">
        <v>366</v>
      </c>
      <c r="C58" s="204">
        <v>1.8</v>
      </c>
      <c r="D58" s="205">
        <v>2</v>
      </c>
      <c r="E58" s="206" t="s">
        <v>367</v>
      </c>
      <c r="F58" s="206" t="s">
        <v>368</v>
      </c>
      <c r="G58" s="206" t="s">
        <v>369</v>
      </c>
      <c r="H58" s="206" t="s">
        <v>370</v>
      </c>
      <c r="I58" s="206" t="s">
        <v>371</v>
      </c>
    </row>
    <row r="59" spans="1:9" ht="16.2" thickBot="1" x14ac:dyDescent="0.35">
      <c r="A59" s="203" t="s">
        <v>296</v>
      </c>
      <c r="B59" s="204" t="s">
        <v>366</v>
      </c>
      <c r="C59" s="207">
        <v>1.8</v>
      </c>
      <c r="D59" s="208">
        <v>3</v>
      </c>
      <c r="E59" s="206" t="s">
        <v>361</v>
      </c>
      <c r="F59" s="209" t="s">
        <v>362</v>
      </c>
      <c r="G59" s="209" t="s">
        <v>363</v>
      </c>
      <c r="H59" s="209" t="s">
        <v>364</v>
      </c>
      <c r="I59" s="209" t="s">
        <v>365</v>
      </c>
    </row>
    <row r="60" spans="1:9" x14ac:dyDescent="0.3">
      <c r="A60" s="210" t="s">
        <v>150</v>
      </c>
      <c r="B60" s="210" t="s">
        <v>372</v>
      </c>
      <c r="C60" s="210">
        <v>23.4</v>
      </c>
      <c r="D60" s="210">
        <v>23</v>
      </c>
      <c r="E60" s="211" t="s">
        <v>373</v>
      </c>
      <c r="F60" s="212" t="s">
        <v>374</v>
      </c>
      <c r="G60" s="212" t="s">
        <v>375</v>
      </c>
      <c r="H60" s="212" t="s">
        <v>376</v>
      </c>
      <c r="I60" s="212" t="s">
        <v>377</v>
      </c>
    </row>
    <row r="61" spans="1:9" x14ac:dyDescent="0.3">
      <c r="A61" s="206"/>
    </row>
    <row r="64" spans="1:9" x14ac:dyDescent="0.3">
      <c r="A64" s="200" t="s">
        <v>379</v>
      </c>
      <c r="B64" s="201" t="s">
        <v>322</v>
      </c>
      <c r="C64" s="201" t="s">
        <v>319</v>
      </c>
      <c r="D64" s="202" t="s">
        <v>323</v>
      </c>
      <c r="E64" s="201" t="s">
        <v>243</v>
      </c>
      <c r="F64" s="201" t="s">
        <v>222</v>
      </c>
      <c r="G64" s="201" t="s">
        <v>310</v>
      </c>
      <c r="H64" s="201" t="s">
        <v>312</v>
      </c>
      <c r="I64" s="201" t="s">
        <v>311</v>
      </c>
    </row>
    <row r="65" spans="1:12" x14ac:dyDescent="0.3">
      <c r="A65" s="203" t="s">
        <v>214</v>
      </c>
      <c r="B65" s="213">
        <v>69828</v>
      </c>
      <c r="C65" s="204">
        <v>6.5</v>
      </c>
      <c r="D65" s="205">
        <v>6</v>
      </c>
      <c r="E65" s="206" t="s">
        <v>343</v>
      </c>
      <c r="F65" s="206" t="s">
        <v>344</v>
      </c>
      <c r="G65" s="206" t="s">
        <v>345</v>
      </c>
      <c r="H65" s="206" t="s">
        <v>346</v>
      </c>
      <c r="I65" s="206" t="s">
        <v>347</v>
      </c>
    </row>
    <row r="66" spans="1:12" x14ac:dyDescent="0.3">
      <c r="A66" s="203" t="s">
        <v>224</v>
      </c>
      <c r="B66" s="213">
        <v>56166</v>
      </c>
      <c r="C66" s="204">
        <v>5.2</v>
      </c>
      <c r="D66" s="205">
        <v>5</v>
      </c>
      <c r="E66" s="206" t="s">
        <v>349</v>
      </c>
      <c r="F66" s="206" t="s">
        <v>350</v>
      </c>
      <c r="G66" s="206" t="s">
        <v>351</v>
      </c>
      <c r="H66" s="206" t="s">
        <v>352</v>
      </c>
      <c r="I66" s="206" t="s">
        <v>353</v>
      </c>
    </row>
    <row r="67" spans="1:12" x14ac:dyDescent="0.3">
      <c r="A67" s="203" t="s">
        <v>283</v>
      </c>
      <c r="B67" s="213">
        <v>48576</v>
      </c>
      <c r="C67" s="204">
        <v>4.5</v>
      </c>
      <c r="D67" s="205">
        <v>4</v>
      </c>
      <c r="E67" s="206" t="s">
        <v>355</v>
      </c>
      <c r="F67" s="206" t="s">
        <v>356</v>
      </c>
      <c r="G67" s="206" t="s">
        <v>357</v>
      </c>
      <c r="H67" s="206" t="s">
        <v>358</v>
      </c>
      <c r="I67" s="206" t="s">
        <v>359</v>
      </c>
      <c r="L67" s="215"/>
    </row>
    <row r="68" spans="1:12" x14ac:dyDescent="0.3">
      <c r="A68" s="203" t="s">
        <v>223</v>
      </c>
      <c r="B68" s="213">
        <v>38962</v>
      </c>
      <c r="C68" s="204">
        <v>3.6</v>
      </c>
      <c r="D68" s="205">
        <v>3</v>
      </c>
      <c r="E68" s="206" t="s">
        <v>361</v>
      </c>
      <c r="F68" s="206" t="s">
        <v>362</v>
      </c>
      <c r="G68" s="206" t="s">
        <v>363</v>
      </c>
      <c r="H68" s="206" t="s">
        <v>364</v>
      </c>
      <c r="I68" s="206" t="s">
        <v>365</v>
      </c>
      <c r="L68" s="206" t="s">
        <v>380</v>
      </c>
    </row>
    <row r="69" spans="1:12" x14ac:dyDescent="0.3">
      <c r="A69" s="203" t="s">
        <v>145</v>
      </c>
      <c r="B69" s="213">
        <v>19228</v>
      </c>
      <c r="C69" s="204">
        <v>1.8</v>
      </c>
      <c r="D69" s="205">
        <v>2</v>
      </c>
      <c r="E69" s="206" t="s">
        <v>367</v>
      </c>
      <c r="F69" s="206" t="s">
        <v>368</v>
      </c>
      <c r="G69" s="206" t="s">
        <v>369</v>
      </c>
      <c r="H69" s="206" t="s">
        <v>370</v>
      </c>
      <c r="I69" s="206" t="s">
        <v>371</v>
      </c>
    </row>
    <row r="70" spans="1:12" ht="16.2" thickBot="1" x14ac:dyDescent="0.35">
      <c r="A70" s="203" t="s">
        <v>296</v>
      </c>
      <c r="B70" s="213">
        <v>19228</v>
      </c>
      <c r="C70" s="207">
        <v>1.8</v>
      </c>
      <c r="D70" s="208">
        <v>3</v>
      </c>
      <c r="E70" s="206" t="s">
        <v>361</v>
      </c>
      <c r="F70" s="209" t="s">
        <v>362</v>
      </c>
      <c r="G70" s="209" t="s">
        <v>363</v>
      </c>
      <c r="H70" s="209" t="s">
        <v>364</v>
      </c>
      <c r="I70" s="209" t="s">
        <v>365</v>
      </c>
    </row>
    <row r="71" spans="1:12" x14ac:dyDescent="0.3">
      <c r="A71" s="210" t="s">
        <v>150</v>
      </c>
      <c r="B71" s="214">
        <f>SUM(B65:B70)</f>
        <v>251988</v>
      </c>
      <c r="C71" s="210">
        <v>23.4</v>
      </c>
      <c r="D71" s="210">
        <v>23</v>
      </c>
      <c r="E71" s="211" t="s">
        <v>373</v>
      </c>
      <c r="F71" s="212" t="s">
        <v>374</v>
      </c>
      <c r="G71" s="212" t="s">
        <v>375</v>
      </c>
      <c r="H71" s="212" t="s">
        <v>376</v>
      </c>
      <c r="I71" s="212" t="s">
        <v>377</v>
      </c>
    </row>
    <row r="72" spans="1:12" x14ac:dyDescent="0.3">
      <c r="B72">
        <f>88279/251998</f>
        <v>0.35031627235136786</v>
      </c>
    </row>
    <row r="74" spans="1:12" ht="16.2" thickBot="1" x14ac:dyDescent="0.35"/>
    <row r="75" spans="1:12" x14ac:dyDescent="0.3">
      <c r="K75" s="372">
        <v>45751</v>
      </c>
      <c r="L75" s="373"/>
    </row>
    <row r="76" spans="1:12" x14ac:dyDescent="0.3">
      <c r="K76" s="90" t="s">
        <v>141</v>
      </c>
      <c r="L76" s="91">
        <f>B71</f>
        <v>251988</v>
      </c>
    </row>
    <row r="77" spans="1:12" x14ac:dyDescent="0.3">
      <c r="K77" s="90"/>
      <c r="L77" s="92"/>
    </row>
    <row r="78" spans="1:12" x14ac:dyDescent="0.3">
      <c r="K78" s="93"/>
      <c r="L78" s="94" t="s">
        <v>3</v>
      </c>
    </row>
    <row r="79" spans="1:12" x14ac:dyDescent="0.3">
      <c r="K79" s="95" t="s">
        <v>68</v>
      </c>
      <c r="L79" s="96">
        <f>B72</f>
        <v>0.35031627235136786</v>
      </c>
    </row>
    <row r="80" spans="1:12" x14ac:dyDescent="0.3">
      <c r="K80" s="95" t="s">
        <v>139</v>
      </c>
      <c r="L80" s="96">
        <f>L43/L76</f>
        <v>0</v>
      </c>
    </row>
    <row r="81" spans="11:12" x14ac:dyDescent="0.3">
      <c r="K81" s="95" t="s">
        <v>0</v>
      </c>
      <c r="L81" s="97">
        <v>0</v>
      </c>
    </row>
    <row r="82" spans="11:12" x14ac:dyDescent="0.3">
      <c r="K82" s="95" t="s">
        <v>40</v>
      </c>
      <c r="L82" s="98">
        <f>L54/L76</f>
        <v>0</v>
      </c>
    </row>
    <row r="83" spans="11:12" x14ac:dyDescent="0.3">
      <c r="K83" s="95" t="s">
        <v>69</v>
      </c>
      <c r="L83" s="98">
        <f>L61/L76</f>
        <v>0</v>
      </c>
    </row>
    <row r="84" spans="11:12" x14ac:dyDescent="0.3">
      <c r="K84" s="95" t="s">
        <v>71</v>
      </c>
      <c r="L84" s="99">
        <f>L63/L76</f>
        <v>0</v>
      </c>
    </row>
    <row r="85" spans="11:12" x14ac:dyDescent="0.3">
      <c r="K85" s="95" t="s">
        <v>57</v>
      </c>
      <c r="L85" s="97">
        <f>SUM(L79:L84)</f>
        <v>0.35031627235136786</v>
      </c>
    </row>
    <row r="86" spans="11:12" x14ac:dyDescent="0.3">
      <c r="K86" s="100" t="s">
        <v>41</v>
      </c>
      <c r="L86" s="121">
        <f>L85*24</f>
        <v>8.4075905364328278</v>
      </c>
    </row>
    <row r="87" spans="11:12" x14ac:dyDescent="0.3">
      <c r="K87" s="95" t="s">
        <v>42</v>
      </c>
      <c r="L87" s="99">
        <v>28</v>
      </c>
    </row>
    <row r="88" spans="11:12" ht="16.2" thickBot="1" x14ac:dyDescent="0.35">
      <c r="K88" s="102" t="s">
        <v>79</v>
      </c>
      <c r="L88" s="103">
        <f>L87-L86</f>
        <v>19.592409463567172</v>
      </c>
    </row>
  </sheetData>
  <mergeCells count="2">
    <mergeCell ref="AF27:AG27"/>
    <mergeCell ref="K75:L75"/>
  </mergeCells>
  <hyperlinks>
    <hyperlink ref="D37" r:id="rId2" xr:uid="{56B4EB9A-9222-4105-A0A6-AEEBE41F2450}"/>
  </hyperlinks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4DEB-0D89-4CBF-B814-3A0C7842F9DD}">
  <dimension ref="B1:Q29"/>
  <sheetViews>
    <sheetView topLeftCell="A11" workbookViewId="0">
      <selection activeCell="F16" sqref="F16"/>
    </sheetView>
  </sheetViews>
  <sheetFormatPr defaultColWidth="8.69921875" defaultRowHeight="14.4" x14ac:dyDescent="0.3"/>
  <cols>
    <col min="1" max="1" width="8.69921875" style="273"/>
    <col min="2" max="2" width="7.19921875" style="273" bestFit="1" customWidth="1"/>
    <col min="3" max="3" width="23.59765625" style="273" customWidth="1"/>
    <col min="4" max="4" width="19.09765625" style="273" customWidth="1"/>
    <col min="5" max="5" width="17.8984375" style="273" bestFit="1" customWidth="1"/>
    <col min="6" max="6" width="17.8984375" style="273" customWidth="1"/>
    <col min="7" max="7" width="17.8984375" style="273" bestFit="1" customWidth="1"/>
    <col min="8" max="8" width="14.19921875" style="273" bestFit="1" customWidth="1"/>
    <col min="9" max="9" width="19.09765625" style="273" bestFit="1" customWidth="1"/>
    <col min="10" max="12" width="8.69921875" style="273"/>
    <col min="13" max="13" width="10.69921875" style="273" bestFit="1" customWidth="1"/>
    <col min="14" max="16" width="8.69921875" style="273"/>
    <col min="17" max="17" width="10" style="273" bestFit="1" customWidth="1"/>
    <col min="18" max="16384" width="8.69921875" style="273"/>
  </cols>
  <sheetData>
    <row r="1" spans="2:17" ht="15" thickBot="1" x14ac:dyDescent="0.35">
      <c r="B1" s="309" t="s">
        <v>565</v>
      </c>
      <c r="C1" s="308" t="s">
        <v>564</v>
      </c>
      <c r="D1" s="307" t="s">
        <v>68</v>
      </c>
    </row>
    <row r="2" spans="2:17" x14ac:dyDescent="0.3">
      <c r="B2" s="285" t="s">
        <v>563</v>
      </c>
      <c r="C2" s="284" t="s">
        <v>562</v>
      </c>
      <c r="D2" s="283">
        <v>10920</v>
      </c>
      <c r="G2" s="306">
        <v>0.61</v>
      </c>
      <c r="H2" s="305" t="s">
        <v>561</v>
      </c>
      <c r="I2" s="304" t="s">
        <v>560</v>
      </c>
      <c r="M2" s="345" t="s">
        <v>626</v>
      </c>
      <c r="N2" s="345" t="s">
        <v>627</v>
      </c>
      <c r="O2" s="345" t="s">
        <v>634</v>
      </c>
      <c r="P2" s="345" t="s">
        <v>635</v>
      </c>
    </row>
    <row r="3" spans="2:17" ht="15.6" x14ac:dyDescent="0.3">
      <c r="B3" s="282" t="s">
        <v>559</v>
      </c>
      <c r="C3" s="281" t="s">
        <v>558</v>
      </c>
      <c r="D3" s="280">
        <v>12024</v>
      </c>
      <c r="G3" s="281" t="s">
        <v>557</v>
      </c>
      <c r="H3" s="303">
        <f>D7+D12+D15+D18+D21+D26</f>
        <v>232968</v>
      </c>
      <c r="I3" s="303">
        <f>D26+D21+D18+D15+D12+E7</f>
        <v>233088</v>
      </c>
      <c r="J3" s="312">
        <f>H3/24</f>
        <v>9707</v>
      </c>
      <c r="K3" s="312">
        <f>I3/24</f>
        <v>9712</v>
      </c>
      <c r="M3" s="346">
        <v>251998</v>
      </c>
      <c r="N3" s="344">
        <f>H3/M3</f>
        <v>0.92448352764704478</v>
      </c>
      <c r="O3" s="346">
        <v>450000</v>
      </c>
      <c r="P3" s="312">
        <f>450000-I3</f>
        <v>216912</v>
      </c>
      <c r="Q3" s="350">
        <f>P3*1.05</f>
        <v>227757.6</v>
      </c>
    </row>
    <row r="4" spans="2:17" ht="15.6" x14ac:dyDescent="0.3">
      <c r="B4" s="282" t="s">
        <v>556</v>
      </c>
      <c r="C4" s="281" t="s">
        <v>555</v>
      </c>
      <c r="D4" s="280">
        <v>20184</v>
      </c>
      <c r="G4" s="281" t="s">
        <v>554</v>
      </c>
      <c r="H4" s="300">
        <f>H3*G2</f>
        <v>142110.48000000001</v>
      </c>
      <c r="I4" s="302">
        <f>I3*G2</f>
        <v>142183.67999999999</v>
      </c>
      <c r="M4" s="273">
        <f>M3/24</f>
        <v>10499.916666666666</v>
      </c>
    </row>
    <row r="5" spans="2:17" ht="15.6" x14ac:dyDescent="0.3">
      <c r="B5" s="282" t="s">
        <v>553</v>
      </c>
      <c r="C5" s="281" t="s">
        <v>552</v>
      </c>
      <c r="D5" s="280">
        <v>10920</v>
      </c>
      <c r="G5" s="281" t="s">
        <v>551</v>
      </c>
      <c r="H5" s="300">
        <f>H3*0.02</f>
        <v>4659.3599999999997</v>
      </c>
      <c r="I5" s="300">
        <f>I3*0.02</f>
        <v>4661.76</v>
      </c>
    </row>
    <row r="6" spans="2:17" ht="15.6" x14ac:dyDescent="0.3">
      <c r="B6" s="282" t="s">
        <v>550</v>
      </c>
      <c r="C6" s="281" t="s">
        <v>549</v>
      </c>
      <c r="D6" s="280">
        <v>9552</v>
      </c>
      <c r="E6" s="301" t="s">
        <v>548</v>
      </c>
      <c r="G6" s="281" t="s">
        <v>547</v>
      </c>
      <c r="H6" s="300">
        <f>(114*50)</f>
        <v>5700</v>
      </c>
      <c r="I6" s="300">
        <f>(114*50)</f>
        <v>5700</v>
      </c>
    </row>
    <row r="7" spans="2:17" ht="15" thickBot="1" x14ac:dyDescent="0.35">
      <c r="B7" s="279"/>
      <c r="C7" s="278" t="s">
        <v>546</v>
      </c>
      <c r="D7" s="299">
        <f>SUM(D2:D6)</f>
        <v>63600</v>
      </c>
      <c r="E7" s="298">
        <v>63720</v>
      </c>
      <c r="F7" s="273">
        <f>E7/24</f>
        <v>2655</v>
      </c>
      <c r="G7" s="281" t="s">
        <v>545</v>
      </c>
      <c r="H7" s="296">
        <v>-62114.06</v>
      </c>
      <c r="I7" s="296">
        <v>-62114.06</v>
      </c>
    </row>
    <row r="8" spans="2:17" x14ac:dyDescent="0.3">
      <c r="B8" s="285" t="s">
        <v>544</v>
      </c>
      <c r="C8" s="284" t="s">
        <v>543</v>
      </c>
      <c r="D8" s="283">
        <v>21120</v>
      </c>
      <c r="G8" s="281" t="s">
        <v>542</v>
      </c>
      <c r="H8" s="296">
        <v>-62630.06</v>
      </c>
      <c r="I8" s="296">
        <v>-62630.06</v>
      </c>
    </row>
    <row r="9" spans="2:17" x14ac:dyDescent="0.3">
      <c r="B9" s="282" t="s">
        <v>541</v>
      </c>
      <c r="C9" s="281" t="s">
        <v>540</v>
      </c>
      <c r="D9" s="280">
        <v>12696</v>
      </c>
      <c r="G9" s="281" t="s">
        <v>539</v>
      </c>
      <c r="H9" s="297">
        <f>SUM(H4:H8)</f>
        <v>27725.72</v>
      </c>
      <c r="I9" s="297">
        <f>SUM(I4:I8)</f>
        <v>27801.320000000007</v>
      </c>
    </row>
    <row r="10" spans="2:17" x14ac:dyDescent="0.3">
      <c r="B10" s="282" t="s">
        <v>538</v>
      </c>
      <c r="C10" s="281" t="s">
        <v>537</v>
      </c>
      <c r="D10" s="280">
        <v>12696</v>
      </c>
      <c r="G10" s="281" t="s">
        <v>536</v>
      </c>
      <c r="H10" s="296">
        <v>-40142.32</v>
      </c>
      <c r="I10" s="296">
        <v>-40142.32</v>
      </c>
    </row>
    <row r="11" spans="2:17" x14ac:dyDescent="0.3">
      <c r="B11" s="282" t="s">
        <v>535</v>
      </c>
      <c r="C11" s="281" t="s">
        <v>534</v>
      </c>
      <c r="D11" s="295" t="s">
        <v>533</v>
      </c>
      <c r="G11" s="281" t="s">
        <v>532</v>
      </c>
      <c r="H11" s="294">
        <f>SUM(H9:H10)</f>
        <v>-12416.599999999999</v>
      </c>
      <c r="I11" s="294">
        <f>SUM(I9:I10)</f>
        <v>-12340.999999999993</v>
      </c>
    </row>
    <row r="12" spans="2:17" ht="15" thickBot="1" x14ac:dyDescent="0.35">
      <c r="B12" s="279"/>
      <c r="C12" s="278" t="s">
        <v>531</v>
      </c>
      <c r="D12" s="277">
        <f>SUM(D8:D10)</f>
        <v>46512</v>
      </c>
      <c r="E12" s="273">
        <f>D12/24</f>
        <v>1938</v>
      </c>
    </row>
    <row r="13" spans="2:17" x14ac:dyDescent="0.3">
      <c r="B13" s="291" t="s">
        <v>530</v>
      </c>
      <c r="C13" s="290" t="s">
        <v>529</v>
      </c>
      <c r="D13" s="289">
        <v>10248</v>
      </c>
    </row>
    <row r="14" spans="2:17" x14ac:dyDescent="0.3">
      <c r="B14" s="282" t="s">
        <v>528</v>
      </c>
      <c r="C14" s="281" t="s">
        <v>527</v>
      </c>
      <c r="D14" s="280">
        <v>8256</v>
      </c>
      <c r="M14" s="273">
        <v>0.37</v>
      </c>
    </row>
    <row r="15" spans="2:17" ht="15" thickBot="1" x14ac:dyDescent="0.35">
      <c r="B15" s="288"/>
      <c r="C15" s="287" t="s">
        <v>526</v>
      </c>
      <c r="D15" s="286">
        <f>SUM(D13:D14)</f>
        <v>18504</v>
      </c>
      <c r="E15" s="273">
        <f>D15/24</f>
        <v>771</v>
      </c>
      <c r="M15" s="273">
        <v>0.125</v>
      </c>
    </row>
    <row r="16" spans="2:17" x14ac:dyDescent="0.3">
      <c r="B16" s="285" t="s">
        <v>525</v>
      </c>
      <c r="C16" s="284" t="s">
        <v>524</v>
      </c>
      <c r="D16" s="293">
        <v>12912</v>
      </c>
      <c r="M16" s="273">
        <f>SUM(M14:M15)</f>
        <v>0.495</v>
      </c>
    </row>
    <row r="17" spans="2:5" x14ac:dyDescent="0.3">
      <c r="B17" s="282" t="s">
        <v>523</v>
      </c>
      <c r="C17" s="281" t="s">
        <v>522</v>
      </c>
      <c r="D17" s="292">
        <v>19656</v>
      </c>
    </row>
    <row r="18" spans="2:5" ht="15" thickBot="1" x14ac:dyDescent="0.35">
      <c r="B18" s="279"/>
      <c r="C18" s="278" t="s">
        <v>521</v>
      </c>
      <c r="D18" s="277">
        <f>SUM(D16:D17)</f>
        <v>32568</v>
      </c>
      <c r="E18" s="273">
        <f>D18/24</f>
        <v>1357</v>
      </c>
    </row>
    <row r="19" spans="2:5" x14ac:dyDescent="0.3">
      <c r="B19" s="291" t="s">
        <v>520</v>
      </c>
      <c r="C19" s="290" t="s">
        <v>519</v>
      </c>
      <c r="D19" s="289">
        <v>10392</v>
      </c>
    </row>
    <row r="20" spans="2:5" x14ac:dyDescent="0.3">
      <c r="B20" s="282" t="s">
        <v>518</v>
      </c>
      <c r="C20" s="281" t="s">
        <v>517</v>
      </c>
      <c r="D20" s="280">
        <v>8208</v>
      </c>
    </row>
    <row r="21" spans="2:5" ht="15" thickBot="1" x14ac:dyDescent="0.35">
      <c r="B21" s="288"/>
      <c r="C21" s="287" t="s">
        <v>516</v>
      </c>
      <c r="D21" s="286">
        <f>SUM(D19:D20)</f>
        <v>18600</v>
      </c>
      <c r="E21" s="273">
        <f>D21/24</f>
        <v>775</v>
      </c>
    </row>
    <row r="22" spans="2:5" x14ac:dyDescent="0.3">
      <c r="B22" s="285" t="s">
        <v>515</v>
      </c>
      <c r="C22" s="284" t="s">
        <v>514</v>
      </c>
      <c r="D22" s="283">
        <v>19656</v>
      </c>
    </row>
    <row r="23" spans="2:5" x14ac:dyDescent="0.3">
      <c r="B23" s="282" t="s">
        <v>513</v>
      </c>
      <c r="C23" s="281" t="s">
        <v>512</v>
      </c>
      <c r="D23" s="280">
        <v>10344</v>
      </c>
    </row>
    <row r="24" spans="2:5" x14ac:dyDescent="0.3">
      <c r="B24" s="282" t="s">
        <v>511</v>
      </c>
      <c r="C24" s="281" t="s">
        <v>510</v>
      </c>
      <c r="D24" s="280">
        <v>11832</v>
      </c>
    </row>
    <row r="25" spans="2:5" x14ac:dyDescent="0.3">
      <c r="B25" s="282" t="s">
        <v>509</v>
      </c>
      <c r="C25" s="281" t="s">
        <v>508</v>
      </c>
      <c r="D25" s="280">
        <v>11352</v>
      </c>
    </row>
    <row r="26" spans="2:5" ht="15" thickBot="1" x14ac:dyDescent="0.35">
      <c r="B26" s="279"/>
      <c r="C26" s="278" t="s">
        <v>507</v>
      </c>
      <c r="D26" s="277">
        <f>SUM(D22:D25)</f>
        <v>53184</v>
      </c>
      <c r="E26" s="273">
        <f>D26/24</f>
        <v>2216</v>
      </c>
    </row>
    <row r="27" spans="2:5" ht="16.2" thickBot="1" x14ac:dyDescent="0.35">
      <c r="B27" s="276"/>
      <c r="C27" s="275" t="s">
        <v>506</v>
      </c>
      <c r="D27" s="274">
        <f>D26+D21+D18+D15+D12+D7</f>
        <v>232968</v>
      </c>
    </row>
    <row r="29" spans="2:5" x14ac:dyDescent="0.3">
      <c r="E29" s="273">
        <f>SUM(E12:E26)+F7</f>
        <v>9712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2059-2FEE-4DD8-A4E5-9D0BA542AF2B}">
  <sheetPr>
    <outlinePr summaryBelow="0" summaryRight="0"/>
  </sheetPr>
  <dimension ref="A1:AE872"/>
  <sheetViews>
    <sheetView topLeftCell="A17" zoomScale="60" zoomScaleNormal="60" workbookViewId="0">
      <selection activeCell="B60" sqref="B60"/>
    </sheetView>
  </sheetViews>
  <sheetFormatPr defaultColWidth="11.3984375" defaultRowHeight="15.75" customHeight="1" x14ac:dyDescent="0.3"/>
  <cols>
    <col min="1" max="1" width="43.5" style="216" customWidth="1"/>
    <col min="2" max="2" width="16" style="216" bestFit="1" customWidth="1"/>
    <col min="3" max="3" width="11.3984375" style="216"/>
    <col min="4" max="4" width="23.19921875" style="216" bestFit="1" customWidth="1"/>
    <col min="5" max="5" width="14.19921875" style="216" bestFit="1" customWidth="1"/>
    <col min="6" max="8" width="11.3984375" style="216"/>
    <col min="9" max="9" width="12.19921875" style="216" bestFit="1" customWidth="1"/>
    <col min="10" max="14" width="11.3984375" style="216"/>
    <col min="15" max="15" width="29.19921875" style="216" bestFit="1" customWidth="1"/>
    <col min="16" max="16384" width="11.3984375" style="216"/>
  </cols>
  <sheetData>
    <row r="1" spans="1:31" ht="15.75" customHeight="1" x14ac:dyDescent="0.3">
      <c r="A1" s="271" t="s">
        <v>456</v>
      </c>
      <c r="B1" s="270" t="s">
        <v>455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</row>
    <row r="2" spans="1:31" ht="15.75" customHeight="1" x14ac:dyDescent="0.3">
      <c r="A2" s="268" t="s">
        <v>454</v>
      </c>
      <c r="B2" s="269" t="s">
        <v>453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</row>
    <row r="3" spans="1:31" ht="15.75" customHeight="1" x14ac:dyDescent="0.3">
      <c r="A3" s="268" t="s">
        <v>452</v>
      </c>
      <c r="B3" s="230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</row>
    <row r="4" spans="1:31" ht="15.75" customHeight="1" thickBot="1" x14ac:dyDescent="0.35">
      <c r="A4" s="267" t="s">
        <v>451</v>
      </c>
      <c r="B4" s="266">
        <v>45806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</row>
    <row r="5" spans="1:31" ht="15.75" customHeight="1" x14ac:dyDescent="0.3">
      <c r="A5" s="217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</row>
    <row r="6" spans="1:31" ht="15.75" customHeight="1" thickBot="1" x14ac:dyDescent="0.35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</row>
    <row r="7" spans="1:31" ht="15.75" customHeight="1" thickBot="1" x14ac:dyDescent="0.35">
      <c r="A7" s="377" t="s">
        <v>450</v>
      </c>
      <c r="B7" s="378"/>
      <c r="C7" s="378"/>
      <c r="D7" s="378"/>
      <c r="E7" s="378"/>
      <c r="F7" s="378"/>
      <c r="G7" s="378"/>
      <c r="H7" s="378"/>
      <c r="I7" s="378"/>
      <c r="J7" s="378"/>
      <c r="K7" s="379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</row>
    <row r="8" spans="1:31" ht="15.75" customHeight="1" thickBot="1" x14ac:dyDescent="0.35">
      <c r="A8" s="265" t="s">
        <v>449</v>
      </c>
      <c r="B8" s="263" t="s">
        <v>393</v>
      </c>
      <c r="C8" s="263" t="s">
        <v>392</v>
      </c>
      <c r="D8" s="264" t="s">
        <v>391</v>
      </c>
      <c r="E8" s="263" t="s">
        <v>388</v>
      </c>
      <c r="F8" s="263" t="s">
        <v>387</v>
      </c>
      <c r="G8" s="264" t="s">
        <v>386</v>
      </c>
      <c r="H8" s="264" t="s">
        <v>216</v>
      </c>
      <c r="I8" s="263" t="s">
        <v>448</v>
      </c>
      <c r="J8" s="380" t="s">
        <v>447</v>
      </c>
      <c r="K8" s="381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</row>
    <row r="9" spans="1:31" ht="15.75" customHeight="1" x14ac:dyDescent="0.3">
      <c r="A9" s="262" t="s">
        <v>446</v>
      </c>
      <c r="B9" s="261"/>
      <c r="C9" s="261"/>
      <c r="D9" s="261"/>
      <c r="E9" s="261"/>
      <c r="F9" s="261"/>
      <c r="G9" s="261"/>
      <c r="H9" s="261"/>
      <c r="I9" s="260">
        <v>0</v>
      </c>
      <c r="J9" s="376" t="str">
        <f t="shared" ref="J9:J16" si="0">A9</f>
        <v>Cola Cans</v>
      </c>
      <c r="K9" s="376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</row>
    <row r="10" spans="1:31" ht="15.75" customHeight="1" x14ac:dyDescent="0.3">
      <c r="A10" s="257" t="s">
        <v>445</v>
      </c>
      <c r="B10" s="256"/>
      <c r="C10" s="256"/>
      <c r="D10" s="256"/>
      <c r="E10" s="256"/>
      <c r="F10" s="256"/>
      <c r="G10" s="256"/>
      <c r="H10" s="256"/>
      <c r="I10" s="255">
        <v>0</v>
      </c>
      <c r="J10" s="376" t="str">
        <f t="shared" si="0"/>
        <v>Diet Cola Cans</v>
      </c>
      <c r="K10" s="376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</row>
    <row r="11" spans="1:31" ht="15.75" customHeight="1" x14ac:dyDescent="0.3">
      <c r="A11" s="257" t="s">
        <v>444</v>
      </c>
      <c r="B11" s="256"/>
      <c r="C11" s="256"/>
      <c r="D11" s="256"/>
      <c r="E11" s="256"/>
      <c r="F11" s="256"/>
      <c r="G11" s="256"/>
      <c r="H11" s="256"/>
      <c r="I11" s="255">
        <v>0</v>
      </c>
      <c r="J11" s="376" t="str">
        <f t="shared" si="0"/>
        <v>Orange Cans</v>
      </c>
      <c r="K11" s="376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</row>
    <row r="12" spans="1:31" ht="15.75" customHeight="1" x14ac:dyDescent="0.3">
      <c r="A12" s="257" t="s">
        <v>443</v>
      </c>
      <c r="B12" s="256"/>
      <c r="C12" s="256"/>
      <c r="D12" s="256"/>
      <c r="E12" s="256"/>
      <c r="F12" s="256"/>
      <c r="G12" s="256"/>
      <c r="H12" s="256"/>
      <c r="I12" s="255">
        <v>0</v>
      </c>
      <c r="J12" s="376" t="str">
        <f t="shared" si="0"/>
        <v>Root Beer Cans</v>
      </c>
      <c r="K12" s="376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3" spans="1:31" ht="15.75" customHeight="1" x14ac:dyDescent="0.3">
      <c r="A13" s="257" t="s">
        <v>442</v>
      </c>
      <c r="B13" s="256"/>
      <c r="C13" s="256"/>
      <c r="D13" s="256"/>
      <c r="E13" s="256"/>
      <c r="F13" s="256"/>
      <c r="G13" s="256"/>
      <c r="H13" s="256"/>
      <c r="I13" s="255">
        <v>0</v>
      </c>
      <c r="J13" s="376" t="str">
        <f t="shared" si="0"/>
        <v>Ginger Beer Cans</v>
      </c>
      <c r="K13" s="376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</row>
    <row r="14" spans="1:31" ht="15.75" customHeight="1" x14ac:dyDescent="0.3">
      <c r="A14" s="259" t="s">
        <v>441</v>
      </c>
      <c r="B14" s="256"/>
      <c r="C14" s="256"/>
      <c r="D14" s="256"/>
      <c r="E14" s="256"/>
      <c r="F14" s="256"/>
      <c r="G14" s="256"/>
      <c r="H14" s="256"/>
      <c r="I14" s="258">
        <f>7*506</f>
        <v>3542</v>
      </c>
      <c r="J14" s="376" t="str">
        <f t="shared" si="0"/>
        <v>Lemon Lime Cans</v>
      </c>
      <c r="K14" s="376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</row>
    <row r="15" spans="1:31" ht="15.75" customHeight="1" x14ac:dyDescent="0.3">
      <c r="A15" s="257" t="s">
        <v>67</v>
      </c>
      <c r="B15" s="256"/>
      <c r="C15" s="256"/>
      <c r="D15" s="256"/>
      <c r="E15" s="256"/>
      <c r="F15" s="256"/>
      <c r="G15" s="256"/>
      <c r="H15" s="256"/>
      <c r="I15" s="255">
        <v>0</v>
      </c>
      <c r="J15" s="376" t="str">
        <f t="shared" si="0"/>
        <v>Ends</v>
      </c>
      <c r="K15" s="376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</row>
    <row r="16" spans="1:31" ht="15.75" customHeight="1" x14ac:dyDescent="0.3">
      <c r="A16" s="257" t="s">
        <v>440</v>
      </c>
      <c r="B16" s="256"/>
      <c r="C16" s="256"/>
      <c r="D16" s="256"/>
      <c r="E16" s="256"/>
      <c r="F16" s="256"/>
      <c r="G16" s="256"/>
      <c r="H16" s="256"/>
      <c r="I16" s="255">
        <v>0</v>
      </c>
      <c r="J16" s="376" t="str">
        <f t="shared" si="0"/>
        <v>Trays</v>
      </c>
      <c r="K16" s="376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</row>
    <row r="17" spans="1:31" ht="15.45" customHeight="1" thickBot="1" x14ac:dyDescent="0.35">
      <c r="A17" s="254"/>
      <c r="B17" s="253"/>
      <c r="C17" s="253"/>
      <c r="D17" s="253"/>
      <c r="E17" s="253"/>
      <c r="F17" s="253"/>
      <c r="G17" s="253"/>
      <c r="H17" s="253"/>
      <c r="I17" s="252"/>
      <c r="J17" s="376"/>
      <c r="K17" s="376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</row>
    <row r="18" spans="1:31" ht="15" thickBot="1" x14ac:dyDescent="0.35">
      <c r="A18" s="224" t="s">
        <v>394</v>
      </c>
      <c r="B18" s="223" t="s">
        <v>393</v>
      </c>
      <c r="C18" s="222" t="s">
        <v>392</v>
      </c>
      <c r="D18" s="221" t="s">
        <v>391</v>
      </c>
      <c r="E18" s="222" t="s">
        <v>390</v>
      </c>
      <c r="F18" s="222" t="s">
        <v>389</v>
      </c>
      <c r="G18" s="222" t="s">
        <v>388</v>
      </c>
      <c r="H18" s="222" t="s">
        <v>387</v>
      </c>
      <c r="I18" s="221" t="s">
        <v>386</v>
      </c>
      <c r="J18" s="222" t="s">
        <v>385</v>
      </c>
      <c r="K18" s="221" t="s">
        <v>384</v>
      </c>
      <c r="L18" s="221" t="s">
        <v>383</v>
      </c>
      <c r="M18" s="220" t="s">
        <v>382</v>
      </c>
      <c r="N18" s="219" t="s">
        <v>381</v>
      </c>
      <c r="O18" s="218" t="str">
        <f t="shared" ref="O18:O37" si="1">A18</f>
        <v>INGREDIENTS</v>
      </c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</row>
    <row r="19" spans="1:31" ht="14.4" x14ac:dyDescent="0.3">
      <c r="A19" s="246" t="s">
        <v>439</v>
      </c>
      <c r="B19" s="251">
        <v>45797</v>
      </c>
      <c r="C19" s="249" t="s">
        <v>400</v>
      </c>
      <c r="D19" s="249" t="s">
        <v>430</v>
      </c>
      <c r="E19" s="249" t="s">
        <v>437</v>
      </c>
      <c r="F19" s="250">
        <v>46100</v>
      </c>
      <c r="G19" s="249" t="s">
        <v>397</v>
      </c>
      <c r="H19" s="249">
        <v>1</v>
      </c>
      <c r="I19" s="249">
        <f>9.55-0.3</f>
        <v>9.25</v>
      </c>
      <c r="J19" s="247">
        <f>I19*H19</f>
        <v>9.25</v>
      </c>
      <c r="K19" s="247">
        <f>J19</f>
        <v>9.25</v>
      </c>
      <c r="L19" s="248"/>
      <c r="M19" s="247">
        <f>SUM(K19:L19)</f>
        <v>9.25</v>
      </c>
      <c r="N19" s="246" t="s">
        <v>396</v>
      </c>
      <c r="O19" s="246" t="str">
        <f t="shared" si="1"/>
        <v>I70 Cola Flavor Partial</v>
      </c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</row>
    <row r="20" spans="1:31" ht="14.4" x14ac:dyDescent="0.3">
      <c r="A20" s="234" t="s">
        <v>438</v>
      </c>
      <c r="B20" s="244">
        <v>45797</v>
      </c>
      <c r="C20" s="236" t="s">
        <v>400</v>
      </c>
      <c r="D20" s="236" t="s">
        <v>430</v>
      </c>
      <c r="E20" s="236" t="s">
        <v>437</v>
      </c>
      <c r="F20" s="237">
        <v>46100</v>
      </c>
      <c r="G20" s="236" t="s">
        <v>397</v>
      </c>
      <c r="H20" s="236">
        <v>1</v>
      </c>
      <c r="I20" s="236">
        <f>10.55-0.3</f>
        <v>10.25</v>
      </c>
      <c r="J20" s="235">
        <f>I20*H20</f>
        <v>10.25</v>
      </c>
      <c r="K20" s="235">
        <f>J20</f>
        <v>10.25</v>
      </c>
      <c r="L20" s="231"/>
      <c r="M20" s="235">
        <f>SUM(K20:L20)</f>
        <v>10.25</v>
      </c>
      <c r="N20" s="230"/>
      <c r="O20" s="234" t="str">
        <f t="shared" si="1"/>
        <v>I70 Cola Flavor Full</v>
      </c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</row>
    <row r="21" spans="1:31" ht="14.4" x14ac:dyDescent="0.3">
      <c r="A21" s="229" t="s">
        <v>436</v>
      </c>
      <c r="B21" s="243"/>
      <c r="C21" s="230"/>
      <c r="D21" s="230"/>
      <c r="E21" s="230"/>
      <c r="F21" s="232"/>
      <c r="G21" s="230"/>
      <c r="H21" s="230"/>
      <c r="I21" s="230"/>
      <c r="J21" s="230"/>
      <c r="K21" s="230"/>
      <c r="L21" s="231"/>
      <c r="M21" s="230"/>
      <c r="N21" s="230"/>
      <c r="O21" s="229" t="str">
        <f t="shared" si="1"/>
        <v>TOTAL COLA FLAVOR</v>
      </c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</row>
    <row r="22" spans="1:31" ht="14.4" x14ac:dyDescent="0.3">
      <c r="A22" s="230"/>
      <c r="B22" s="243"/>
      <c r="C22" s="230"/>
      <c r="D22" s="230"/>
      <c r="E22" s="230"/>
      <c r="F22" s="232"/>
      <c r="G22" s="230"/>
      <c r="H22" s="230"/>
      <c r="I22" s="230"/>
      <c r="J22" s="230"/>
      <c r="K22" s="230"/>
      <c r="L22" s="231"/>
      <c r="M22" s="230"/>
      <c r="N22" s="230"/>
      <c r="O22" s="230">
        <f t="shared" si="1"/>
        <v>0</v>
      </c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</row>
    <row r="23" spans="1:31" ht="14.4" x14ac:dyDescent="0.3">
      <c r="A23" s="234" t="s">
        <v>435</v>
      </c>
      <c r="B23" s="244">
        <v>45762</v>
      </c>
      <c r="C23" s="236" t="s">
        <v>400</v>
      </c>
      <c r="D23" s="236" t="s">
        <v>433</v>
      </c>
      <c r="E23" s="236">
        <v>17874</v>
      </c>
      <c r="F23" s="237">
        <v>46123</v>
      </c>
      <c r="G23" s="236" t="s">
        <v>397</v>
      </c>
      <c r="H23" s="236">
        <v>1</v>
      </c>
      <c r="I23" s="236">
        <f>9-0.3</f>
        <v>8.6999999999999993</v>
      </c>
      <c r="J23" s="235">
        <f>I23*H23</f>
        <v>8.6999999999999993</v>
      </c>
      <c r="K23" s="235">
        <f t="shared" ref="K23:K37" si="2">J23</f>
        <v>8.6999999999999993</v>
      </c>
      <c r="L23" s="231"/>
      <c r="M23" s="235">
        <f>SUM(K23:L23)</f>
        <v>8.6999999999999993</v>
      </c>
      <c r="N23" s="234" t="s">
        <v>396</v>
      </c>
      <c r="O23" s="234" t="str">
        <f t="shared" si="1"/>
        <v>Hot Pepper Flavor Full</v>
      </c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</row>
    <row r="24" spans="1:31" ht="14.4" x14ac:dyDescent="0.3">
      <c r="A24" s="234" t="s">
        <v>434</v>
      </c>
      <c r="B24" s="244">
        <v>45762</v>
      </c>
      <c r="C24" s="236" t="s">
        <v>400</v>
      </c>
      <c r="D24" s="236" t="s">
        <v>433</v>
      </c>
      <c r="E24" s="236">
        <v>17874</v>
      </c>
      <c r="F24" s="237">
        <v>46123</v>
      </c>
      <c r="G24" s="236" t="s">
        <v>397</v>
      </c>
      <c r="H24" s="236">
        <v>1</v>
      </c>
      <c r="I24" s="236">
        <f>3.95-0.3</f>
        <v>3.6500000000000004</v>
      </c>
      <c r="J24" s="235">
        <f>I24*H24</f>
        <v>3.6500000000000004</v>
      </c>
      <c r="K24" s="235">
        <f t="shared" si="2"/>
        <v>3.6500000000000004</v>
      </c>
      <c r="L24" s="231"/>
      <c r="M24" s="235">
        <f>SUM(K24:L24)</f>
        <v>3.6500000000000004</v>
      </c>
      <c r="N24" s="234" t="s">
        <v>396</v>
      </c>
      <c r="O24" s="234" t="str">
        <f t="shared" si="1"/>
        <v>Hot Pepper Flavor Partial</v>
      </c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</row>
    <row r="25" spans="1:31" ht="14.4" x14ac:dyDescent="0.3">
      <c r="A25" s="229" t="s">
        <v>432</v>
      </c>
      <c r="B25" s="243"/>
      <c r="C25" s="230"/>
      <c r="D25" s="230"/>
      <c r="E25" s="230"/>
      <c r="F25" s="232"/>
      <c r="G25" s="230"/>
      <c r="H25" s="230"/>
      <c r="I25" s="230"/>
      <c r="J25" s="230"/>
      <c r="K25" s="230">
        <f t="shared" si="2"/>
        <v>0</v>
      </c>
      <c r="L25" s="231"/>
      <c r="M25" s="239">
        <f>M24</f>
        <v>3.6500000000000004</v>
      </c>
      <c r="N25" s="230"/>
      <c r="O25" s="229" t="str">
        <f t="shared" si="1"/>
        <v>TOTAL HOT PEPPER FLAVOR</v>
      </c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</row>
    <row r="26" spans="1:31" ht="14.4" x14ac:dyDescent="0.3">
      <c r="A26" s="230"/>
      <c r="B26" s="243"/>
      <c r="C26" s="230"/>
      <c r="D26" s="230"/>
      <c r="E26" s="230"/>
      <c r="F26" s="232"/>
      <c r="G26" s="230"/>
      <c r="H26" s="230"/>
      <c r="I26" s="230"/>
      <c r="J26" s="230"/>
      <c r="K26" s="230">
        <f t="shared" si="2"/>
        <v>0</v>
      </c>
      <c r="L26" s="231"/>
      <c r="M26" s="230"/>
      <c r="N26" s="230"/>
      <c r="O26" s="230">
        <f t="shared" si="1"/>
        <v>0</v>
      </c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</row>
    <row r="27" spans="1:31" ht="14.4" x14ac:dyDescent="0.3">
      <c r="A27" s="234" t="s">
        <v>431</v>
      </c>
      <c r="B27" s="244">
        <v>45768</v>
      </c>
      <c r="C27" s="236" t="s">
        <v>400</v>
      </c>
      <c r="D27" s="236" t="s">
        <v>430</v>
      </c>
      <c r="E27" s="236" t="s">
        <v>429</v>
      </c>
      <c r="F27" s="237">
        <v>46120</v>
      </c>
      <c r="G27" s="236" t="s">
        <v>397</v>
      </c>
      <c r="H27" s="236">
        <v>1</v>
      </c>
      <c r="I27" s="236">
        <f>3.5-0.3</f>
        <v>3.2</v>
      </c>
      <c r="J27" s="235">
        <f>I27*H27</f>
        <v>3.2</v>
      </c>
      <c r="K27" s="235">
        <f t="shared" si="2"/>
        <v>3.2</v>
      </c>
      <c r="L27" s="231"/>
      <c r="M27" s="235">
        <f>SUM(K27:L27)</f>
        <v>3.2</v>
      </c>
      <c r="N27" s="234" t="s">
        <v>396</v>
      </c>
      <c r="O27" s="234" t="str">
        <f t="shared" si="1"/>
        <v>Lemon UP Flavor</v>
      </c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</row>
    <row r="28" spans="1:31" ht="14.4" x14ac:dyDescent="0.3">
      <c r="A28" s="229" t="s">
        <v>428</v>
      </c>
      <c r="B28" s="243"/>
      <c r="C28" s="230"/>
      <c r="D28" s="230"/>
      <c r="E28" s="230"/>
      <c r="F28" s="232"/>
      <c r="G28" s="230"/>
      <c r="H28" s="230"/>
      <c r="I28" s="230"/>
      <c r="J28" s="230"/>
      <c r="K28" s="230">
        <f t="shared" si="2"/>
        <v>0</v>
      </c>
      <c r="L28" s="231"/>
      <c r="M28" s="239">
        <f>M27</f>
        <v>3.2</v>
      </c>
      <c r="N28" s="230"/>
      <c r="O28" s="229" t="str">
        <f t="shared" si="1"/>
        <v>TOTAL LEMON UP</v>
      </c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</row>
    <row r="29" spans="1:31" ht="14.4" x14ac:dyDescent="0.3">
      <c r="A29" s="230"/>
      <c r="B29" s="243"/>
      <c r="C29" s="230"/>
      <c r="D29" s="230"/>
      <c r="E29" s="230"/>
      <c r="F29" s="232"/>
      <c r="G29" s="230"/>
      <c r="H29" s="230"/>
      <c r="I29" s="230"/>
      <c r="J29" s="230"/>
      <c r="K29" s="230">
        <f t="shared" si="2"/>
        <v>0</v>
      </c>
      <c r="L29" s="231"/>
      <c r="M29" s="230"/>
      <c r="N29" s="230"/>
      <c r="O29" s="230">
        <f t="shared" si="1"/>
        <v>0</v>
      </c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</row>
    <row r="30" spans="1:31" ht="14.4" x14ac:dyDescent="0.3">
      <c r="A30" s="234" t="s">
        <v>427</v>
      </c>
      <c r="B30" s="244">
        <v>45768</v>
      </c>
      <c r="C30" s="236" t="s">
        <v>400</v>
      </c>
      <c r="D30" s="245" t="s">
        <v>426</v>
      </c>
      <c r="E30" s="236" t="s">
        <v>425</v>
      </c>
      <c r="F30" s="237">
        <v>46711</v>
      </c>
      <c r="G30" s="236" t="s">
        <v>397</v>
      </c>
      <c r="H30" s="236">
        <v>1</v>
      </c>
      <c r="I30" s="236">
        <f>7.15-0.2</f>
        <v>6.95</v>
      </c>
      <c r="J30" s="235">
        <f>I30*H30</f>
        <v>6.95</v>
      </c>
      <c r="K30" s="235">
        <f t="shared" si="2"/>
        <v>6.95</v>
      </c>
      <c r="L30" s="231"/>
      <c r="M30" s="235">
        <f>SUM(K30:L30)</f>
        <v>6.95</v>
      </c>
      <c r="N30" s="234" t="s">
        <v>396</v>
      </c>
      <c r="O30" s="234" t="str">
        <f t="shared" si="1"/>
        <v>Citric Acid</v>
      </c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</row>
    <row r="31" spans="1:31" ht="14.4" x14ac:dyDescent="0.3">
      <c r="A31" s="229" t="s">
        <v>424</v>
      </c>
      <c r="B31" s="243"/>
      <c r="C31" s="230"/>
      <c r="D31" s="230"/>
      <c r="E31" s="230"/>
      <c r="F31" s="232"/>
      <c r="G31" s="230"/>
      <c r="H31" s="230"/>
      <c r="I31" s="230"/>
      <c r="J31" s="230"/>
      <c r="K31" s="230">
        <f t="shared" si="2"/>
        <v>0</v>
      </c>
      <c r="L31" s="231"/>
      <c r="M31" s="239">
        <f>M30</f>
        <v>6.95</v>
      </c>
      <c r="N31" s="230"/>
      <c r="O31" s="229" t="str">
        <f t="shared" si="1"/>
        <v>TOTAL CITRIC ACID</v>
      </c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</row>
    <row r="32" spans="1:31" ht="14.4" x14ac:dyDescent="0.3">
      <c r="A32" s="230"/>
      <c r="B32" s="243"/>
      <c r="C32" s="230"/>
      <c r="D32" s="230"/>
      <c r="E32" s="230"/>
      <c r="F32" s="232"/>
      <c r="G32" s="230"/>
      <c r="H32" s="230"/>
      <c r="I32" s="230"/>
      <c r="J32" s="230"/>
      <c r="K32" s="230">
        <f t="shared" si="2"/>
        <v>0</v>
      </c>
      <c r="L32" s="231"/>
      <c r="M32" s="230"/>
      <c r="N32" s="230"/>
      <c r="O32" s="230">
        <f t="shared" si="1"/>
        <v>0</v>
      </c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</row>
    <row r="33" spans="1:31" ht="14.4" x14ac:dyDescent="0.3">
      <c r="A33" s="234" t="s">
        <v>423</v>
      </c>
      <c r="B33" s="244">
        <v>45768</v>
      </c>
      <c r="C33" s="236" t="s">
        <v>400</v>
      </c>
      <c r="D33" s="236" t="s">
        <v>422</v>
      </c>
      <c r="E33" s="236" t="s">
        <v>421</v>
      </c>
      <c r="F33" s="237">
        <v>46692</v>
      </c>
      <c r="G33" s="236" t="s">
        <v>397</v>
      </c>
      <c r="H33" s="236">
        <v>1</v>
      </c>
      <c r="I33" s="236">
        <v>2.35</v>
      </c>
      <c r="J33" s="235">
        <f>I33*H33</f>
        <v>2.35</v>
      </c>
      <c r="K33" s="235">
        <f t="shared" si="2"/>
        <v>2.35</v>
      </c>
      <c r="L33" s="231"/>
      <c r="M33" s="235">
        <f>SUM(K33:L33)</f>
        <v>2.35</v>
      </c>
      <c r="N33" s="234" t="s">
        <v>396</v>
      </c>
      <c r="O33" s="234" t="str">
        <f t="shared" si="1"/>
        <v>Sodium Citrate</v>
      </c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</row>
    <row r="34" spans="1:31" ht="14.4" x14ac:dyDescent="0.3">
      <c r="A34" s="229" t="s">
        <v>420</v>
      </c>
      <c r="B34" s="243"/>
      <c r="C34" s="230"/>
      <c r="D34" s="230"/>
      <c r="E34" s="230"/>
      <c r="F34" s="232"/>
      <c r="G34" s="230"/>
      <c r="H34" s="230"/>
      <c r="I34" s="230"/>
      <c r="J34" s="230"/>
      <c r="K34" s="230">
        <f t="shared" si="2"/>
        <v>0</v>
      </c>
      <c r="L34" s="231"/>
      <c r="M34" s="239">
        <f>M33</f>
        <v>2.35</v>
      </c>
      <c r="N34" s="230"/>
      <c r="O34" s="229" t="str">
        <f t="shared" si="1"/>
        <v>TOTAL SODIUM CITRATE</v>
      </c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</row>
    <row r="35" spans="1:31" ht="14.4" x14ac:dyDescent="0.3">
      <c r="A35" s="230"/>
      <c r="B35" s="243"/>
      <c r="C35" s="230"/>
      <c r="D35" s="230"/>
      <c r="E35" s="230"/>
      <c r="F35" s="232"/>
      <c r="G35" s="230"/>
      <c r="H35" s="230"/>
      <c r="I35" s="230"/>
      <c r="J35" s="230"/>
      <c r="K35" s="230">
        <f t="shared" si="2"/>
        <v>0</v>
      </c>
      <c r="L35" s="231"/>
      <c r="M35" s="230"/>
      <c r="N35" s="230"/>
      <c r="O35" s="230">
        <f t="shared" si="1"/>
        <v>0</v>
      </c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</row>
    <row r="36" spans="1:31" ht="14.4" x14ac:dyDescent="0.3">
      <c r="A36" s="234" t="s">
        <v>419</v>
      </c>
      <c r="B36" s="242">
        <v>45798</v>
      </c>
      <c r="C36" s="236" t="s">
        <v>400</v>
      </c>
      <c r="D36" s="236" t="s">
        <v>418</v>
      </c>
      <c r="E36" s="236" t="s">
        <v>417</v>
      </c>
      <c r="F36" s="241">
        <v>46173</v>
      </c>
      <c r="G36" s="236" t="s">
        <v>397</v>
      </c>
      <c r="H36" s="236">
        <v>1</v>
      </c>
      <c r="I36" s="236">
        <v>0.85</v>
      </c>
      <c r="J36" s="235">
        <f>I36*H36</f>
        <v>0.85</v>
      </c>
      <c r="K36" s="235">
        <f t="shared" si="2"/>
        <v>0.85</v>
      </c>
      <c r="L36" s="231"/>
      <c r="M36" s="235">
        <f>SUM(K36:L36)</f>
        <v>0.85</v>
      </c>
      <c r="N36" s="234" t="s">
        <v>396</v>
      </c>
      <c r="O36" s="234" t="str">
        <f t="shared" si="1"/>
        <v xml:space="preserve">Erythritol </v>
      </c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</row>
    <row r="37" spans="1:31" ht="14.4" x14ac:dyDescent="0.3">
      <c r="A37" s="229" t="s">
        <v>416</v>
      </c>
      <c r="B37" s="230"/>
      <c r="C37" s="230"/>
      <c r="D37" s="230"/>
      <c r="E37" s="230"/>
      <c r="F37" s="230"/>
      <c r="G37" s="230"/>
      <c r="H37" s="230"/>
      <c r="I37" s="230"/>
      <c r="J37" s="230"/>
      <c r="K37" s="230">
        <f t="shared" si="2"/>
        <v>0</v>
      </c>
      <c r="L37" s="231"/>
      <c r="M37" s="239">
        <f>M36</f>
        <v>0.85</v>
      </c>
      <c r="N37" s="230"/>
      <c r="O37" s="229" t="str">
        <f t="shared" si="1"/>
        <v>TOTAL ERYTHRITOL</v>
      </c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</row>
    <row r="38" spans="1:31" ht="14.4" x14ac:dyDescent="0.3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1"/>
      <c r="M38" s="230"/>
      <c r="N38" s="230"/>
      <c r="O38" s="230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</row>
    <row r="39" spans="1:31" ht="14.4" x14ac:dyDescent="0.3">
      <c r="A39" s="234" t="s">
        <v>415</v>
      </c>
      <c r="B39" s="240" t="s">
        <v>412</v>
      </c>
      <c r="C39" s="236" t="s">
        <v>414</v>
      </c>
      <c r="D39" s="240" t="s">
        <v>412</v>
      </c>
      <c r="E39" s="236" t="s">
        <v>413</v>
      </c>
      <c r="F39" s="240" t="s">
        <v>412</v>
      </c>
      <c r="G39" s="236" t="s">
        <v>397</v>
      </c>
      <c r="H39" s="236">
        <v>1</v>
      </c>
      <c r="I39" s="236">
        <v>27.55</v>
      </c>
      <c r="J39" s="235">
        <f>I39*H39</f>
        <v>27.55</v>
      </c>
      <c r="K39" s="235">
        <f t="shared" ref="K39:K49" si="3">J39</f>
        <v>27.55</v>
      </c>
      <c r="L39" s="231"/>
      <c r="M39" s="235">
        <f>SUM(K39:L39)</f>
        <v>27.55</v>
      </c>
      <c r="N39" s="234" t="s">
        <v>396</v>
      </c>
      <c r="O39" s="234" t="str">
        <f t="shared" ref="O39:O50" si="4">A39</f>
        <v>Sodium Gluconate</v>
      </c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</row>
    <row r="40" spans="1:31" ht="14.4" x14ac:dyDescent="0.3">
      <c r="A40" s="229" t="s">
        <v>411</v>
      </c>
      <c r="B40" s="233"/>
      <c r="C40" s="230"/>
      <c r="D40" s="230"/>
      <c r="E40" s="230"/>
      <c r="F40" s="232"/>
      <c r="G40" s="230"/>
      <c r="H40" s="230"/>
      <c r="I40" s="230"/>
      <c r="J40" s="230"/>
      <c r="K40" s="230">
        <f t="shared" si="3"/>
        <v>0</v>
      </c>
      <c r="L40" s="231"/>
      <c r="M40" s="239">
        <f>M39</f>
        <v>27.55</v>
      </c>
      <c r="N40" s="230"/>
      <c r="O40" s="229" t="str">
        <f t="shared" si="4"/>
        <v>TOTAL SODIUM GLUCONATE</v>
      </c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</row>
    <row r="41" spans="1:31" ht="14.4" x14ac:dyDescent="0.3">
      <c r="A41" s="230"/>
      <c r="B41" s="233"/>
      <c r="C41" s="230"/>
      <c r="D41" s="230"/>
      <c r="E41" s="230"/>
      <c r="F41" s="232"/>
      <c r="G41" s="230"/>
      <c r="H41" s="230"/>
      <c r="I41" s="230"/>
      <c r="J41" s="230"/>
      <c r="K41" s="230">
        <f t="shared" si="3"/>
        <v>0</v>
      </c>
      <c r="L41" s="231"/>
      <c r="M41" s="230"/>
      <c r="N41" s="230"/>
      <c r="O41" s="230">
        <f t="shared" si="4"/>
        <v>0</v>
      </c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</row>
    <row r="42" spans="1:31" ht="14.4" x14ac:dyDescent="0.3">
      <c r="A42" s="234" t="s">
        <v>410</v>
      </c>
      <c r="B42" s="238">
        <v>45768</v>
      </c>
      <c r="C42" s="236" t="s">
        <v>400</v>
      </c>
      <c r="D42" s="236" t="s">
        <v>409</v>
      </c>
      <c r="E42" s="230"/>
      <c r="F42" s="237">
        <v>46233</v>
      </c>
      <c r="G42" s="236" t="s">
        <v>397</v>
      </c>
      <c r="H42" s="236">
        <v>1</v>
      </c>
      <c r="I42" s="236">
        <f>9.25-0.3</f>
        <v>8.9499999999999993</v>
      </c>
      <c r="J42" s="235">
        <f>I42*H42</f>
        <v>8.9499999999999993</v>
      </c>
      <c r="K42" s="235">
        <f t="shared" si="3"/>
        <v>8.9499999999999993</v>
      </c>
      <c r="L42" s="231"/>
      <c r="M42" s="235">
        <f>SUM(K42:L42)</f>
        <v>8.9499999999999993</v>
      </c>
      <c r="N42" s="234" t="s">
        <v>396</v>
      </c>
      <c r="O42" s="234" t="str">
        <f t="shared" si="4"/>
        <v>Caramel Color</v>
      </c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</row>
    <row r="43" spans="1:31" ht="14.4" x14ac:dyDescent="0.3">
      <c r="A43" s="229" t="s">
        <v>408</v>
      </c>
      <c r="B43" s="233"/>
      <c r="C43" s="230"/>
      <c r="D43" s="230"/>
      <c r="E43" s="230"/>
      <c r="F43" s="232"/>
      <c r="G43" s="230"/>
      <c r="H43" s="230"/>
      <c r="I43" s="230"/>
      <c r="J43" s="230"/>
      <c r="K43" s="230">
        <f t="shared" si="3"/>
        <v>0</v>
      </c>
      <c r="L43" s="231"/>
      <c r="M43" s="239">
        <f>M42</f>
        <v>8.9499999999999993</v>
      </c>
      <c r="N43" s="230"/>
      <c r="O43" s="229" t="str">
        <f t="shared" si="4"/>
        <v>TOTAL CARAMEL COLOR</v>
      </c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4" spans="1:31" ht="14.4" x14ac:dyDescent="0.3">
      <c r="A44" s="230"/>
      <c r="B44" s="233"/>
      <c r="C44" s="230"/>
      <c r="D44" s="230"/>
      <c r="E44" s="230"/>
      <c r="F44" s="232"/>
      <c r="G44" s="230"/>
      <c r="H44" s="230"/>
      <c r="I44" s="230"/>
      <c r="J44" s="230"/>
      <c r="K44" s="230">
        <f t="shared" si="3"/>
        <v>0</v>
      </c>
      <c r="L44" s="231"/>
      <c r="M44" s="230"/>
      <c r="N44" s="230"/>
      <c r="O44" s="230">
        <f t="shared" si="4"/>
        <v>0</v>
      </c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</row>
    <row r="45" spans="1:31" ht="14.4" x14ac:dyDescent="0.3">
      <c r="A45" s="234" t="s">
        <v>407</v>
      </c>
      <c r="B45" s="238">
        <v>45768</v>
      </c>
      <c r="C45" s="236" t="s">
        <v>400</v>
      </c>
      <c r="D45" s="236" t="s">
        <v>399</v>
      </c>
      <c r="E45" s="236" t="s">
        <v>398</v>
      </c>
      <c r="F45" s="237">
        <v>46478</v>
      </c>
      <c r="G45" s="236" t="s">
        <v>397</v>
      </c>
      <c r="H45" s="236">
        <v>50</v>
      </c>
      <c r="I45" s="236">
        <v>50</v>
      </c>
      <c r="J45" s="235">
        <f>I45*H45</f>
        <v>2500</v>
      </c>
      <c r="K45" s="235">
        <f t="shared" si="3"/>
        <v>2500</v>
      </c>
      <c r="L45" s="231"/>
      <c r="M45" s="235">
        <f>SUM(K45:L45)</f>
        <v>2500</v>
      </c>
      <c r="N45" s="234" t="s">
        <v>396</v>
      </c>
      <c r="O45" s="234" t="str">
        <f t="shared" si="4"/>
        <v>Sugar Pallet 1</v>
      </c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</row>
    <row r="46" spans="1:31" ht="14.4" x14ac:dyDescent="0.3">
      <c r="A46" s="234" t="s">
        <v>406</v>
      </c>
      <c r="B46" s="238">
        <v>45768</v>
      </c>
      <c r="C46" s="236" t="s">
        <v>400</v>
      </c>
      <c r="D46" s="236" t="s">
        <v>399</v>
      </c>
      <c r="E46" s="236" t="s">
        <v>398</v>
      </c>
      <c r="F46" s="237">
        <v>46478</v>
      </c>
      <c r="G46" s="236" t="s">
        <v>397</v>
      </c>
      <c r="H46" s="236">
        <v>50</v>
      </c>
      <c r="I46" s="236">
        <v>50</v>
      </c>
      <c r="J46" s="235">
        <f>I46*H46</f>
        <v>2500</v>
      </c>
      <c r="K46" s="235">
        <f t="shared" si="3"/>
        <v>2500</v>
      </c>
      <c r="L46" s="231"/>
      <c r="M46" s="235">
        <f>SUM(K46:L46)</f>
        <v>2500</v>
      </c>
      <c r="N46" s="234" t="s">
        <v>396</v>
      </c>
      <c r="O46" s="234" t="str">
        <f t="shared" si="4"/>
        <v>Sugar Pallet 2</v>
      </c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</row>
    <row r="47" spans="1:31" ht="14.4" x14ac:dyDescent="0.3">
      <c r="A47" s="234" t="s">
        <v>405</v>
      </c>
      <c r="B47" s="238">
        <v>45768</v>
      </c>
      <c r="C47" s="236" t="s">
        <v>400</v>
      </c>
      <c r="D47" s="236" t="s">
        <v>399</v>
      </c>
      <c r="E47" s="236" t="s">
        <v>398</v>
      </c>
      <c r="F47" s="237">
        <v>46478</v>
      </c>
      <c r="G47" s="236" t="s">
        <v>397</v>
      </c>
      <c r="H47" s="236">
        <v>50</v>
      </c>
      <c r="I47" s="236">
        <v>50</v>
      </c>
      <c r="J47" s="235">
        <f>I47*H47</f>
        <v>2500</v>
      </c>
      <c r="K47" s="235">
        <f t="shared" si="3"/>
        <v>2500</v>
      </c>
      <c r="L47" s="231"/>
      <c r="M47" s="235">
        <f>SUM(K47:L47)</f>
        <v>2500</v>
      </c>
      <c r="N47" s="234" t="s">
        <v>396</v>
      </c>
      <c r="O47" s="234" t="str">
        <f t="shared" si="4"/>
        <v>Sugar Pallet 3</v>
      </c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</row>
    <row r="48" spans="1:31" ht="14.4" x14ac:dyDescent="0.3">
      <c r="A48" s="234" t="s">
        <v>404</v>
      </c>
      <c r="B48" s="238">
        <v>45768</v>
      </c>
      <c r="C48" s="236" t="s">
        <v>400</v>
      </c>
      <c r="D48" s="236" t="s">
        <v>399</v>
      </c>
      <c r="E48" s="236" t="s">
        <v>398</v>
      </c>
      <c r="F48" s="237">
        <v>46478</v>
      </c>
      <c r="G48" s="236" t="s">
        <v>397</v>
      </c>
      <c r="H48" s="236">
        <v>50</v>
      </c>
      <c r="I48" s="236">
        <v>50</v>
      </c>
      <c r="J48" s="235">
        <f>I48*H48</f>
        <v>2500</v>
      </c>
      <c r="K48" s="235">
        <f t="shared" si="3"/>
        <v>2500</v>
      </c>
      <c r="L48" s="231"/>
      <c r="M48" s="235">
        <f>SUM(K48:L48)</f>
        <v>2500</v>
      </c>
      <c r="N48" s="234" t="s">
        <v>396</v>
      </c>
      <c r="O48" s="234" t="str">
        <f t="shared" si="4"/>
        <v>Sugar Pallet 4</v>
      </c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</row>
    <row r="49" spans="1:31" ht="14.4" x14ac:dyDescent="0.3">
      <c r="A49" s="234" t="s">
        <v>403</v>
      </c>
      <c r="B49" s="238">
        <v>45768</v>
      </c>
      <c r="C49" s="236" t="s">
        <v>400</v>
      </c>
      <c r="D49" s="236" t="s">
        <v>399</v>
      </c>
      <c r="E49" s="236" t="s">
        <v>398</v>
      </c>
      <c r="F49" s="237">
        <v>46478</v>
      </c>
      <c r="G49" s="236" t="s">
        <v>397</v>
      </c>
      <c r="H49" s="236">
        <v>51</v>
      </c>
      <c r="I49" s="236">
        <v>50</v>
      </c>
      <c r="J49" s="235">
        <f>I49*H49</f>
        <v>2550</v>
      </c>
      <c r="K49" s="235">
        <f t="shared" si="3"/>
        <v>2550</v>
      </c>
      <c r="L49" s="231"/>
      <c r="M49" s="235">
        <f>SUM(K49:L49)</f>
        <v>2550</v>
      </c>
      <c r="N49" s="234" t="s">
        <v>396</v>
      </c>
      <c r="O49" s="234" t="str">
        <f t="shared" si="4"/>
        <v>Sugar Pallet 5</v>
      </c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</row>
    <row r="50" spans="1:31" ht="14.4" x14ac:dyDescent="0.3">
      <c r="A50" s="229" t="s">
        <v>402</v>
      </c>
      <c r="B50" s="233"/>
      <c r="C50" s="230"/>
      <c r="D50" s="230"/>
      <c r="E50" s="230"/>
      <c r="F50" s="232"/>
      <c r="G50" s="230"/>
      <c r="H50" s="230"/>
      <c r="I50" s="230"/>
      <c r="J50" s="230"/>
      <c r="K50" s="230"/>
      <c r="L50" s="231"/>
      <c r="M50" s="239">
        <f>SUM(M45:M49)</f>
        <v>12550</v>
      </c>
      <c r="N50" s="230"/>
      <c r="O50" s="229" t="str">
        <f t="shared" si="4"/>
        <v>TOTAL SUGAR</v>
      </c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</row>
    <row r="51" spans="1:31" ht="14.4" x14ac:dyDescent="0.3">
      <c r="A51" s="230"/>
      <c r="B51" s="233"/>
      <c r="C51" s="230"/>
      <c r="D51" s="230"/>
      <c r="E51" s="230"/>
      <c r="F51" s="232"/>
      <c r="G51" s="230"/>
      <c r="H51" s="230"/>
      <c r="I51" s="230"/>
      <c r="J51" s="230"/>
      <c r="K51" s="230"/>
      <c r="L51" s="231"/>
      <c r="M51" s="230"/>
      <c r="N51" s="230"/>
      <c r="O51" s="230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</row>
    <row r="52" spans="1:31" ht="14.4" x14ac:dyDescent="0.3">
      <c r="A52" s="234" t="s">
        <v>401</v>
      </c>
      <c r="B52" s="238">
        <v>45768</v>
      </c>
      <c r="C52" s="236" t="s">
        <v>400</v>
      </c>
      <c r="D52" s="236" t="s">
        <v>399</v>
      </c>
      <c r="E52" s="236" t="s">
        <v>398</v>
      </c>
      <c r="F52" s="237">
        <v>46478</v>
      </c>
      <c r="G52" s="236" t="s">
        <v>397</v>
      </c>
      <c r="H52" s="236">
        <v>34</v>
      </c>
      <c r="I52" s="236">
        <v>50</v>
      </c>
      <c r="J52" s="235">
        <f>I52*H52</f>
        <v>1700</v>
      </c>
      <c r="K52" s="235">
        <f>J52</f>
        <v>1700</v>
      </c>
      <c r="L52" s="231"/>
      <c r="M52" s="235">
        <f>SUM(K52:L52)</f>
        <v>1700</v>
      </c>
      <c r="N52" s="234" t="s">
        <v>396</v>
      </c>
      <c r="O52" s="234" t="str">
        <f>A52</f>
        <v>Set aside for Shane of Top Hat</v>
      </c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3" spans="1:31" ht="14.4" x14ac:dyDescent="0.3">
      <c r="A53" s="229" t="s">
        <v>395</v>
      </c>
      <c r="B53" s="233"/>
      <c r="C53" s="230"/>
      <c r="D53" s="230"/>
      <c r="E53" s="230"/>
      <c r="F53" s="232"/>
      <c r="G53" s="230"/>
      <c r="H53" s="230"/>
      <c r="I53" s="230"/>
      <c r="J53" s="230"/>
      <c r="K53" s="230"/>
      <c r="L53" s="231"/>
      <c r="M53" s="230"/>
      <c r="N53" s="230"/>
      <c r="O53" s="229" t="str">
        <f>A53</f>
        <v>TOTAL Set ASIDE FOR TOP HAT</v>
      </c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</row>
    <row r="54" spans="1:31" ht="15" thickBot="1" x14ac:dyDescent="0.35">
      <c r="A54" s="225"/>
      <c r="B54" s="228"/>
      <c r="C54" s="225"/>
      <c r="D54" s="225"/>
      <c r="E54" s="225"/>
      <c r="F54" s="227"/>
      <c r="G54" s="225"/>
      <c r="H54" s="225"/>
      <c r="I54" s="225"/>
      <c r="J54" s="225"/>
      <c r="K54" s="225"/>
      <c r="L54" s="226"/>
      <c r="M54" s="225"/>
      <c r="N54" s="225"/>
      <c r="O54" s="225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</row>
    <row r="55" spans="1:31" ht="15" thickBot="1" x14ac:dyDescent="0.35">
      <c r="A55" s="224" t="s">
        <v>394</v>
      </c>
      <c r="B55" s="223" t="s">
        <v>393</v>
      </c>
      <c r="C55" s="222" t="s">
        <v>392</v>
      </c>
      <c r="D55" s="221" t="s">
        <v>391</v>
      </c>
      <c r="E55" s="222" t="s">
        <v>390</v>
      </c>
      <c r="F55" s="222" t="s">
        <v>389</v>
      </c>
      <c r="G55" s="222" t="s">
        <v>388</v>
      </c>
      <c r="H55" s="222" t="s">
        <v>387</v>
      </c>
      <c r="I55" s="221" t="s">
        <v>386</v>
      </c>
      <c r="J55" s="222" t="s">
        <v>385</v>
      </c>
      <c r="K55" s="221" t="s">
        <v>384</v>
      </c>
      <c r="L55" s="221" t="s">
        <v>383</v>
      </c>
      <c r="M55" s="220" t="s">
        <v>382</v>
      </c>
      <c r="N55" s="219" t="s">
        <v>381</v>
      </c>
      <c r="O55" s="218" t="str">
        <f>A55</f>
        <v>INGREDIENTS</v>
      </c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</row>
    <row r="56" spans="1:31" ht="14.4" x14ac:dyDescent="0.3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</row>
    <row r="57" spans="1:31" ht="14.4" x14ac:dyDescent="0.3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</row>
    <row r="58" spans="1:31" ht="14.4" x14ac:dyDescent="0.3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</row>
    <row r="59" spans="1:31" ht="14.4" x14ac:dyDescent="0.3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</row>
    <row r="60" spans="1:31" ht="14.4" x14ac:dyDescent="0.3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</row>
    <row r="61" spans="1:31" ht="14.4" x14ac:dyDescent="0.3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</row>
    <row r="62" spans="1:31" ht="14.4" x14ac:dyDescent="0.3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</row>
    <row r="63" spans="1:31" ht="14.4" x14ac:dyDescent="0.3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</row>
    <row r="64" spans="1:31" ht="14.4" x14ac:dyDescent="0.3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</row>
    <row r="65" spans="1:31" ht="14.4" x14ac:dyDescent="0.3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</row>
    <row r="66" spans="1:31" ht="14.4" x14ac:dyDescent="0.3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</row>
    <row r="67" spans="1:31" ht="14.4" x14ac:dyDescent="0.3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</row>
    <row r="68" spans="1:31" ht="14.4" x14ac:dyDescent="0.3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</row>
    <row r="69" spans="1:31" ht="14.4" x14ac:dyDescent="0.3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</row>
    <row r="70" spans="1:31" ht="14.4" x14ac:dyDescent="0.3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1" spans="1:31" ht="14.4" x14ac:dyDescent="0.3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</row>
    <row r="72" spans="1:31" ht="14.4" x14ac:dyDescent="0.3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</row>
    <row r="73" spans="1:31" ht="14.4" x14ac:dyDescent="0.3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</row>
    <row r="74" spans="1:31" ht="14.4" x14ac:dyDescent="0.3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</row>
    <row r="75" spans="1:31" ht="14.4" x14ac:dyDescent="0.3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</row>
    <row r="76" spans="1:31" ht="14.4" x14ac:dyDescent="0.3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</row>
    <row r="77" spans="1:31" ht="14.4" x14ac:dyDescent="0.3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</row>
    <row r="78" spans="1:31" ht="14.4" x14ac:dyDescent="0.3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</row>
    <row r="79" spans="1:31" ht="14.4" x14ac:dyDescent="0.3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</row>
    <row r="80" spans="1:31" ht="14.4" x14ac:dyDescent="0.3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</row>
    <row r="81" spans="1:31" ht="14.4" x14ac:dyDescent="0.3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</row>
    <row r="82" spans="1:31" ht="14.4" x14ac:dyDescent="0.3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</row>
    <row r="83" spans="1:31" ht="14.4" x14ac:dyDescent="0.3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4" spans="1:31" ht="14.4" x14ac:dyDescent="0.3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</row>
    <row r="85" spans="1:31" ht="14.4" x14ac:dyDescent="0.3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</row>
    <row r="86" spans="1:31" ht="14.4" x14ac:dyDescent="0.3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</row>
    <row r="87" spans="1:31" ht="14.4" x14ac:dyDescent="0.3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</row>
    <row r="88" spans="1:31" ht="14.4" x14ac:dyDescent="0.3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</row>
    <row r="89" spans="1:31" ht="14.4" x14ac:dyDescent="0.3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</row>
    <row r="90" spans="1:31" ht="14.4" x14ac:dyDescent="0.3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</row>
    <row r="91" spans="1:31" ht="14.4" x14ac:dyDescent="0.3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</row>
    <row r="92" spans="1:31" ht="14.4" x14ac:dyDescent="0.3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</row>
    <row r="93" spans="1:31" ht="14.4" x14ac:dyDescent="0.3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</row>
    <row r="94" spans="1:31" ht="14.4" x14ac:dyDescent="0.3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</row>
    <row r="95" spans="1:31" ht="14.4" x14ac:dyDescent="0.3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</row>
    <row r="96" spans="1:31" ht="14.4" x14ac:dyDescent="0.3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</row>
    <row r="97" spans="1:31" ht="14.4" x14ac:dyDescent="0.3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</row>
    <row r="98" spans="1:31" ht="14.4" x14ac:dyDescent="0.3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</row>
    <row r="99" spans="1:31" ht="14.4" x14ac:dyDescent="0.3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</row>
    <row r="100" spans="1:31" ht="14.4" x14ac:dyDescent="0.3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ht="14.4" x14ac:dyDescent="0.3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</row>
    <row r="102" spans="1:31" ht="14.4" x14ac:dyDescent="0.3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</row>
    <row r="103" spans="1:31" ht="14.4" x14ac:dyDescent="0.3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</row>
    <row r="104" spans="1:31" ht="14.4" x14ac:dyDescent="0.3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</row>
    <row r="105" spans="1:31" ht="14.4" x14ac:dyDescent="0.3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</row>
    <row r="106" spans="1:31" ht="14.4" x14ac:dyDescent="0.3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</row>
    <row r="107" spans="1:31" ht="14.4" x14ac:dyDescent="0.3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</row>
    <row r="108" spans="1:31" ht="14.4" x14ac:dyDescent="0.3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</row>
    <row r="109" spans="1:31" ht="14.4" x14ac:dyDescent="0.3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</row>
    <row r="110" spans="1:31" ht="14.4" x14ac:dyDescent="0.3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</row>
    <row r="111" spans="1:31" ht="14.4" x14ac:dyDescent="0.3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</row>
    <row r="112" spans="1:31" ht="14.4" x14ac:dyDescent="0.3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</row>
    <row r="113" spans="1:31" ht="14.4" x14ac:dyDescent="0.3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</row>
    <row r="114" spans="1:31" ht="14.4" x14ac:dyDescent="0.3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</row>
    <row r="115" spans="1:31" ht="14.4" x14ac:dyDescent="0.3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</row>
    <row r="116" spans="1:31" ht="14.4" x14ac:dyDescent="0.3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</row>
    <row r="117" spans="1:31" ht="14.4" x14ac:dyDescent="0.3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</row>
    <row r="118" spans="1:31" ht="14.4" x14ac:dyDescent="0.3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</row>
    <row r="119" spans="1:31" ht="14.4" x14ac:dyDescent="0.3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</row>
    <row r="120" spans="1:31" ht="14.4" x14ac:dyDescent="0.3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</row>
    <row r="121" spans="1:31" ht="14.4" x14ac:dyDescent="0.3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</row>
    <row r="122" spans="1:31" ht="14.4" x14ac:dyDescent="0.3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</row>
    <row r="123" spans="1:31" ht="14.4" x14ac:dyDescent="0.3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</row>
    <row r="124" spans="1:31" ht="14.4" x14ac:dyDescent="0.3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</row>
    <row r="125" spans="1:31" ht="14.4" x14ac:dyDescent="0.3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</row>
    <row r="126" spans="1:31" ht="14.4" x14ac:dyDescent="0.3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</row>
    <row r="127" spans="1:31" ht="14.4" x14ac:dyDescent="0.3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</row>
    <row r="128" spans="1:31" ht="14.4" x14ac:dyDescent="0.3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</row>
    <row r="129" spans="1:31" ht="14.4" x14ac:dyDescent="0.3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</row>
    <row r="130" spans="1:31" ht="14.4" x14ac:dyDescent="0.3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</row>
    <row r="131" spans="1:31" ht="14.4" x14ac:dyDescent="0.3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</row>
    <row r="132" spans="1:31" ht="14.4" x14ac:dyDescent="0.3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</row>
    <row r="133" spans="1:31" ht="14.4" x14ac:dyDescent="0.3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</row>
    <row r="134" spans="1:31" ht="14.4" x14ac:dyDescent="0.3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</row>
    <row r="135" spans="1:31" ht="14.4" x14ac:dyDescent="0.3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</row>
    <row r="136" spans="1:31" ht="14.4" x14ac:dyDescent="0.3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</row>
    <row r="137" spans="1:31" ht="14.4" x14ac:dyDescent="0.3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</row>
    <row r="138" spans="1:31" ht="14.4" x14ac:dyDescent="0.3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</row>
    <row r="139" spans="1:31" ht="14.4" x14ac:dyDescent="0.3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</row>
    <row r="140" spans="1:31" ht="14.4" x14ac:dyDescent="0.3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</row>
    <row r="141" spans="1:31" ht="14.4" x14ac:dyDescent="0.3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</row>
    <row r="142" spans="1:31" ht="14.4" x14ac:dyDescent="0.3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</row>
    <row r="143" spans="1:31" ht="14.4" x14ac:dyDescent="0.3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</row>
    <row r="144" spans="1:31" ht="14.4" x14ac:dyDescent="0.3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</row>
    <row r="145" spans="1:31" ht="14.4" x14ac:dyDescent="0.3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</row>
    <row r="146" spans="1:31" ht="14.4" x14ac:dyDescent="0.3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</row>
    <row r="147" spans="1:31" ht="14.4" x14ac:dyDescent="0.3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</row>
    <row r="148" spans="1:31" ht="14.4" x14ac:dyDescent="0.3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</row>
    <row r="149" spans="1:31" ht="14.4" x14ac:dyDescent="0.3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</row>
    <row r="150" spans="1:31" ht="14.4" x14ac:dyDescent="0.3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</row>
    <row r="151" spans="1:31" ht="14.4" x14ac:dyDescent="0.3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</row>
    <row r="152" spans="1:31" ht="14.4" x14ac:dyDescent="0.3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</row>
    <row r="153" spans="1:31" ht="14.4" x14ac:dyDescent="0.3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</row>
    <row r="154" spans="1:31" ht="14.4" x14ac:dyDescent="0.3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</row>
    <row r="155" spans="1:31" ht="14.4" x14ac:dyDescent="0.3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</row>
    <row r="156" spans="1:31" ht="14.4" x14ac:dyDescent="0.3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</row>
    <row r="157" spans="1:31" ht="14.4" x14ac:dyDescent="0.3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</row>
    <row r="158" spans="1:31" ht="14.4" x14ac:dyDescent="0.3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</row>
    <row r="159" spans="1:31" ht="14.4" x14ac:dyDescent="0.3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</row>
    <row r="160" spans="1:31" ht="14.4" x14ac:dyDescent="0.3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</row>
    <row r="161" spans="1:31" ht="14.4" x14ac:dyDescent="0.3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</row>
    <row r="162" spans="1:31" ht="14.4" x14ac:dyDescent="0.3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</row>
    <row r="163" spans="1:31" ht="14.4" x14ac:dyDescent="0.3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</row>
    <row r="164" spans="1:31" ht="14.4" x14ac:dyDescent="0.3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</row>
    <row r="165" spans="1:31" ht="14.4" x14ac:dyDescent="0.3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</row>
    <row r="166" spans="1:31" ht="14.4" x14ac:dyDescent="0.3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</row>
    <row r="167" spans="1:31" ht="14.4" x14ac:dyDescent="0.3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</row>
    <row r="168" spans="1:31" ht="14.4" x14ac:dyDescent="0.3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</row>
    <row r="169" spans="1:31" ht="14.4" x14ac:dyDescent="0.3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</row>
    <row r="170" spans="1:31" ht="14.4" x14ac:dyDescent="0.3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</row>
    <row r="171" spans="1:31" ht="14.4" x14ac:dyDescent="0.3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</row>
    <row r="172" spans="1:31" ht="14.4" x14ac:dyDescent="0.3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</row>
    <row r="173" spans="1:31" ht="14.4" x14ac:dyDescent="0.3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</row>
    <row r="174" spans="1:31" ht="14.4" x14ac:dyDescent="0.3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</row>
    <row r="175" spans="1:31" ht="14.4" x14ac:dyDescent="0.3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</row>
    <row r="176" spans="1:31" ht="14.4" x14ac:dyDescent="0.3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</row>
    <row r="177" spans="1:31" ht="14.4" x14ac:dyDescent="0.3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</row>
    <row r="178" spans="1:31" ht="14.4" x14ac:dyDescent="0.3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</row>
    <row r="179" spans="1:31" ht="14.4" x14ac:dyDescent="0.3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</row>
    <row r="180" spans="1:31" ht="14.4" x14ac:dyDescent="0.3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</row>
    <row r="181" spans="1:31" ht="14.4" x14ac:dyDescent="0.3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</row>
    <row r="182" spans="1:31" ht="14.4" x14ac:dyDescent="0.3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</row>
    <row r="183" spans="1:31" ht="14.4" x14ac:dyDescent="0.3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</row>
    <row r="184" spans="1:31" ht="14.4" x14ac:dyDescent="0.3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</row>
    <row r="185" spans="1:31" ht="14.4" x14ac:dyDescent="0.3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</row>
    <row r="186" spans="1:31" ht="14.4" x14ac:dyDescent="0.3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</row>
    <row r="187" spans="1:31" ht="14.4" x14ac:dyDescent="0.3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</row>
    <row r="188" spans="1:31" ht="14.4" x14ac:dyDescent="0.3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</row>
    <row r="189" spans="1:31" ht="14.4" x14ac:dyDescent="0.3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</row>
    <row r="190" spans="1:31" ht="14.4" x14ac:dyDescent="0.3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</row>
    <row r="191" spans="1:31" ht="14.4" x14ac:dyDescent="0.3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</row>
    <row r="192" spans="1:31" ht="14.4" x14ac:dyDescent="0.3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</row>
    <row r="193" spans="1:31" ht="14.4" x14ac:dyDescent="0.3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</row>
    <row r="194" spans="1:31" ht="14.4" x14ac:dyDescent="0.3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</row>
    <row r="195" spans="1:31" ht="14.4" x14ac:dyDescent="0.3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</row>
    <row r="196" spans="1:31" ht="14.4" x14ac:dyDescent="0.3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</row>
    <row r="197" spans="1:31" ht="14.4" x14ac:dyDescent="0.3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</row>
    <row r="198" spans="1:31" ht="14.4" x14ac:dyDescent="0.3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</row>
    <row r="199" spans="1:31" ht="14.4" x14ac:dyDescent="0.3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</row>
    <row r="200" spans="1:31" ht="14.4" x14ac:dyDescent="0.3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</row>
    <row r="201" spans="1:31" ht="14.4" x14ac:dyDescent="0.3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</row>
    <row r="202" spans="1:31" ht="14.4" x14ac:dyDescent="0.3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</row>
    <row r="203" spans="1:31" ht="14.4" x14ac:dyDescent="0.3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</row>
    <row r="204" spans="1:31" ht="14.4" x14ac:dyDescent="0.3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</row>
    <row r="205" spans="1:31" ht="14.4" x14ac:dyDescent="0.3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</row>
    <row r="206" spans="1:31" ht="14.4" x14ac:dyDescent="0.3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</row>
    <row r="207" spans="1:31" ht="14.4" x14ac:dyDescent="0.3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</row>
    <row r="208" spans="1:31" ht="14.4" x14ac:dyDescent="0.3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</row>
    <row r="209" spans="1:31" ht="14.4" x14ac:dyDescent="0.3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</row>
    <row r="210" spans="1:31" ht="14.4" x14ac:dyDescent="0.3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</row>
    <row r="211" spans="1:31" ht="14.4" x14ac:dyDescent="0.3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</row>
    <row r="212" spans="1:31" ht="14.4" x14ac:dyDescent="0.3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</row>
    <row r="213" spans="1:31" ht="14.4" x14ac:dyDescent="0.3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</row>
    <row r="214" spans="1:31" ht="14.4" x14ac:dyDescent="0.3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</row>
    <row r="215" spans="1:31" ht="14.4" x14ac:dyDescent="0.3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</row>
    <row r="216" spans="1:31" ht="14.4" x14ac:dyDescent="0.3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</row>
    <row r="217" spans="1:31" ht="14.4" x14ac:dyDescent="0.3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</row>
    <row r="218" spans="1:31" ht="14.4" x14ac:dyDescent="0.3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</row>
    <row r="219" spans="1:31" ht="14.4" x14ac:dyDescent="0.3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</row>
    <row r="220" spans="1:31" ht="14.4" x14ac:dyDescent="0.3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</row>
    <row r="221" spans="1:31" ht="14.4" x14ac:dyDescent="0.3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</row>
    <row r="222" spans="1:31" ht="14.4" x14ac:dyDescent="0.3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</row>
    <row r="223" spans="1:31" ht="14.4" x14ac:dyDescent="0.3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</row>
    <row r="224" spans="1:31" ht="14.4" x14ac:dyDescent="0.3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</row>
    <row r="225" spans="1:31" ht="14.4" x14ac:dyDescent="0.3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</row>
    <row r="226" spans="1:31" ht="14.4" x14ac:dyDescent="0.3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</row>
    <row r="227" spans="1:31" ht="14.4" x14ac:dyDescent="0.3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</row>
    <row r="228" spans="1:31" ht="14.4" x14ac:dyDescent="0.3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</row>
    <row r="229" spans="1:31" ht="14.4" x14ac:dyDescent="0.3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</row>
    <row r="230" spans="1:31" ht="14.4" x14ac:dyDescent="0.3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</row>
    <row r="231" spans="1:31" ht="14.4" x14ac:dyDescent="0.3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</row>
    <row r="232" spans="1:31" ht="14.4" x14ac:dyDescent="0.3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</row>
    <row r="233" spans="1:31" ht="14.4" x14ac:dyDescent="0.3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</row>
    <row r="234" spans="1:31" ht="14.4" x14ac:dyDescent="0.3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</row>
    <row r="235" spans="1:31" ht="14.4" x14ac:dyDescent="0.3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</row>
    <row r="236" spans="1:31" ht="14.4" x14ac:dyDescent="0.3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</row>
    <row r="237" spans="1:31" ht="14.4" x14ac:dyDescent="0.3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</row>
    <row r="238" spans="1:31" ht="14.4" x14ac:dyDescent="0.3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</row>
    <row r="239" spans="1:31" ht="14.4" x14ac:dyDescent="0.3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</row>
    <row r="240" spans="1:31" ht="14.4" x14ac:dyDescent="0.3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</row>
    <row r="241" spans="1:31" ht="14.4" x14ac:dyDescent="0.3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</row>
    <row r="242" spans="1:31" ht="14.4" x14ac:dyDescent="0.3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</row>
    <row r="243" spans="1:31" ht="14.4" x14ac:dyDescent="0.3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</row>
    <row r="244" spans="1:31" ht="14.4" x14ac:dyDescent="0.3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</row>
    <row r="245" spans="1:31" ht="14.4" x14ac:dyDescent="0.3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</row>
    <row r="246" spans="1:31" ht="14.4" x14ac:dyDescent="0.3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</row>
    <row r="247" spans="1:31" ht="14.4" x14ac:dyDescent="0.3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</row>
    <row r="248" spans="1:31" ht="14.4" x14ac:dyDescent="0.3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</row>
    <row r="249" spans="1:31" ht="14.4" x14ac:dyDescent="0.3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</row>
    <row r="250" spans="1:31" ht="14.4" x14ac:dyDescent="0.3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</row>
    <row r="251" spans="1:31" ht="14.4" x14ac:dyDescent="0.3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</row>
    <row r="252" spans="1:31" ht="14.4" x14ac:dyDescent="0.3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  <c r="AE252" s="217"/>
    </row>
    <row r="253" spans="1:31" ht="14.4" x14ac:dyDescent="0.3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  <c r="AE253" s="217"/>
    </row>
    <row r="254" spans="1:31" ht="14.4" x14ac:dyDescent="0.3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  <c r="AE254" s="217"/>
    </row>
    <row r="255" spans="1:31" ht="14.4" x14ac:dyDescent="0.3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  <c r="AE255" s="217"/>
    </row>
    <row r="256" spans="1:31" ht="14.4" x14ac:dyDescent="0.3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  <c r="AE256" s="217"/>
    </row>
    <row r="257" spans="1:31" ht="14.4" x14ac:dyDescent="0.3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  <c r="AE257" s="217"/>
    </row>
    <row r="258" spans="1:31" ht="14.4" x14ac:dyDescent="0.3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  <c r="AE258" s="217"/>
    </row>
    <row r="259" spans="1:31" ht="14.4" x14ac:dyDescent="0.3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</row>
    <row r="260" spans="1:31" ht="14.4" x14ac:dyDescent="0.3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</row>
    <row r="261" spans="1:31" ht="14.4" x14ac:dyDescent="0.3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</row>
    <row r="262" spans="1:31" ht="14.4" x14ac:dyDescent="0.3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</row>
    <row r="263" spans="1:31" ht="14.4" x14ac:dyDescent="0.3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</row>
    <row r="264" spans="1:31" ht="14.4" x14ac:dyDescent="0.3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</row>
    <row r="265" spans="1:31" ht="14.4" x14ac:dyDescent="0.3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</row>
    <row r="266" spans="1:31" ht="14.4" x14ac:dyDescent="0.3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</row>
    <row r="267" spans="1:31" ht="14.4" x14ac:dyDescent="0.3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</row>
    <row r="268" spans="1:31" ht="14.4" x14ac:dyDescent="0.3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</row>
    <row r="269" spans="1:31" ht="14.4" x14ac:dyDescent="0.3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</row>
    <row r="270" spans="1:31" ht="14.4" x14ac:dyDescent="0.3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</row>
    <row r="271" spans="1:31" ht="14.4" x14ac:dyDescent="0.3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</row>
    <row r="272" spans="1:31" ht="14.4" x14ac:dyDescent="0.3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</row>
    <row r="273" spans="1:31" ht="14.4" x14ac:dyDescent="0.3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</row>
    <row r="274" spans="1:31" ht="14.4" x14ac:dyDescent="0.3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</row>
    <row r="275" spans="1:31" ht="14.4" x14ac:dyDescent="0.3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</row>
    <row r="276" spans="1:31" ht="14.4" x14ac:dyDescent="0.3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</row>
    <row r="277" spans="1:31" ht="14.4" x14ac:dyDescent="0.3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</row>
    <row r="278" spans="1:31" ht="14.4" x14ac:dyDescent="0.3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</row>
    <row r="279" spans="1:31" ht="14.4" x14ac:dyDescent="0.3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</row>
    <row r="280" spans="1:31" ht="14.4" x14ac:dyDescent="0.3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</row>
    <row r="281" spans="1:31" ht="14.4" x14ac:dyDescent="0.3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</row>
    <row r="282" spans="1:31" ht="14.4" x14ac:dyDescent="0.3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</row>
    <row r="283" spans="1:31" ht="14.4" x14ac:dyDescent="0.3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</row>
    <row r="284" spans="1:31" ht="14.4" x14ac:dyDescent="0.3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</row>
    <row r="285" spans="1:31" ht="14.4" x14ac:dyDescent="0.3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</row>
    <row r="286" spans="1:31" ht="14.4" x14ac:dyDescent="0.3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</row>
    <row r="287" spans="1:31" ht="14.4" x14ac:dyDescent="0.3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</row>
    <row r="288" spans="1:31" ht="14.4" x14ac:dyDescent="0.3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  <c r="AE288" s="217"/>
    </row>
    <row r="289" spans="1:31" ht="14.4" x14ac:dyDescent="0.3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  <c r="AE289" s="217"/>
    </row>
    <row r="290" spans="1:31" ht="14.4" x14ac:dyDescent="0.3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  <c r="AE290" s="217"/>
    </row>
    <row r="291" spans="1:31" ht="14.4" x14ac:dyDescent="0.3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  <c r="AE291" s="217"/>
    </row>
    <row r="292" spans="1:31" ht="14.4" x14ac:dyDescent="0.3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  <c r="AE292" s="217"/>
    </row>
    <row r="293" spans="1:31" ht="14.4" x14ac:dyDescent="0.3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  <c r="AE293" s="217"/>
    </row>
    <row r="294" spans="1:31" ht="14.4" x14ac:dyDescent="0.3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  <c r="AE294" s="217"/>
    </row>
    <row r="295" spans="1:31" ht="14.4" x14ac:dyDescent="0.3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  <c r="AE295" s="217"/>
    </row>
    <row r="296" spans="1:31" ht="14.4" x14ac:dyDescent="0.3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</row>
    <row r="297" spans="1:31" ht="14.4" x14ac:dyDescent="0.3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  <c r="AE297" s="217"/>
    </row>
    <row r="298" spans="1:31" ht="14.4" x14ac:dyDescent="0.3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  <c r="AE298" s="217"/>
    </row>
    <row r="299" spans="1:31" ht="14.4" x14ac:dyDescent="0.3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  <c r="AE299" s="217"/>
    </row>
    <row r="300" spans="1:31" ht="14.4" x14ac:dyDescent="0.3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  <c r="AE300" s="217"/>
    </row>
    <row r="301" spans="1:31" ht="14.4" x14ac:dyDescent="0.3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</row>
    <row r="302" spans="1:31" ht="14.4" x14ac:dyDescent="0.3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  <c r="AE302" s="217"/>
    </row>
    <row r="303" spans="1:31" ht="14.4" x14ac:dyDescent="0.3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  <c r="AE303" s="217"/>
    </row>
    <row r="304" spans="1:31" ht="14.4" x14ac:dyDescent="0.3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  <c r="AE304" s="217"/>
    </row>
    <row r="305" spans="1:31" ht="14.4" x14ac:dyDescent="0.3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  <c r="AE305" s="217"/>
    </row>
    <row r="306" spans="1:31" ht="14.4" x14ac:dyDescent="0.3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  <c r="AE306" s="217"/>
    </row>
    <row r="307" spans="1:31" ht="14.4" x14ac:dyDescent="0.3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  <c r="AE307" s="217"/>
    </row>
    <row r="308" spans="1:31" ht="14.4" x14ac:dyDescent="0.3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  <c r="AE308" s="217"/>
    </row>
    <row r="309" spans="1:31" ht="14.4" x14ac:dyDescent="0.3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</row>
    <row r="310" spans="1:31" ht="14.4" x14ac:dyDescent="0.3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  <c r="AE310" s="217"/>
    </row>
    <row r="311" spans="1:31" ht="14.4" x14ac:dyDescent="0.3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  <c r="AE311" s="217"/>
    </row>
    <row r="312" spans="1:31" ht="14.4" x14ac:dyDescent="0.3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  <c r="AE312" s="217"/>
    </row>
    <row r="313" spans="1:31" ht="14.4" x14ac:dyDescent="0.3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  <c r="AE313" s="217"/>
    </row>
    <row r="314" spans="1:31" ht="14.4" x14ac:dyDescent="0.3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</row>
    <row r="315" spans="1:31" ht="14.4" x14ac:dyDescent="0.3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</row>
    <row r="316" spans="1:31" ht="14.4" x14ac:dyDescent="0.3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</row>
    <row r="317" spans="1:31" ht="14.4" x14ac:dyDescent="0.3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</row>
    <row r="318" spans="1:31" ht="14.4" x14ac:dyDescent="0.3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</row>
    <row r="319" spans="1:31" ht="14.4" x14ac:dyDescent="0.3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</row>
    <row r="320" spans="1:31" ht="14.4" x14ac:dyDescent="0.3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</row>
    <row r="321" spans="1:31" ht="14.4" x14ac:dyDescent="0.3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</row>
    <row r="322" spans="1:31" ht="14.4" x14ac:dyDescent="0.3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</row>
    <row r="323" spans="1:31" ht="14.4" x14ac:dyDescent="0.3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</row>
    <row r="324" spans="1:31" ht="14.4" x14ac:dyDescent="0.3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</row>
    <row r="325" spans="1:31" ht="14.4" x14ac:dyDescent="0.3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</row>
    <row r="326" spans="1:31" ht="14.4" x14ac:dyDescent="0.3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</row>
    <row r="327" spans="1:31" ht="14.4" x14ac:dyDescent="0.3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</row>
    <row r="328" spans="1:31" ht="14.4" x14ac:dyDescent="0.3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</row>
    <row r="329" spans="1:31" ht="14.4" x14ac:dyDescent="0.3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</row>
    <row r="330" spans="1:31" ht="14.4" x14ac:dyDescent="0.3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</row>
    <row r="331" spans="1:31" ht="14.4" x14ac:dyDescent="0.3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</row>
    <row r="332" spans="1:31" ht="14.4" x14ac:dyDescent="0.3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</row>
    <row r="333" spans="1:31" ht="14.4" x14ac:dyDescent="0.3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</row>
    <row r="334" spans="1:31" ht="14.4" x14ac:dyDescent="0.3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</row>
    <row r="335" spans="1:31" ht="14.4" x14ac:dyDescent="0.3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</row>
    <row r="336" spans="1:31" ht="14.4" x14ac:dyDescent="0.3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</row>
    <row r="337" spans="1:31" ht="14.4" x14ac:dyDescent="0.3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</row>
    <row r="338" spans="1:31" ht="14.4" x14ac:dyDescent="0.3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</row>
    <row r="339" spans="1:31" ht="14.4" x14ac:dyDescent="0.3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</row>
    <row r="340" spans="1:31" ht="14.4" x14ac:dyDescent="0.3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</row>
    <row r="341" spans="1:31" ht="14.4" x14ac:dyDescent="0.3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</row>
    <row r="342" spans="1:31" ht="14.4" x14ac:dyDescent="0.3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</row>
    <row r="343" spans="1:31" ht="14.4" x14ac:dyDescent="0.3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</row>
    <row r="344" spans="1:31" ht="14.4" x14ac:dyDescent="0.3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  <c r="AE344" s="217"/>
    </row>
    <row r="345" spans="1:31" ht="14.4" x14ac:dyDescent="0.3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  <c r="AE345" s="217"/>
    </row>
    <row r="346" spans="1:31" ht="14.4" x14ac:dyDescent="0.3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  <c r="AE346" s="217"/>
    </row>
    <row r="347" spans="1:31" ht="14.4" x14ac:dyDescent="0.3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  <c r="AE347" s="217"/>
    </row>
    <row r="348" spans="1:31" ht="14.4" x14ac:dyDescent="0.3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  <c r="AE348" s="217"/>
    </row>
    <row r="349" spans="1:31" ht="14.4" x14ac:dyDescent="0.3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  <c r="AE349" s="217"/>
    </row>
    <row r="350" spans="1:31" ht="14.4" x14ac:dyDescent="0.3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  <c r="AE350" s="217"/>
    </row>
    <row r="351" spans="1:31" ht="14.4" x14ac:dyDescent="0.3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  <c r="AE351" s="217"/>
    </row>
    <row r="352" spans="1:31" ht="14.4" x14ac:dyDescent="0.3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  <c r="AE352" s="217"/>
    </row>
    <row r="353" spans="1:31" ht="14.4" x14ac:dyDescent="0.3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  <c r="AE353" s="217"/>
    </row>
    <row r="354" spans="1:31" ht="14.4" x14ac:dyDescent="0.3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  <c r="AE354" s="217"/>
    </row>
    <row r="355" spans="1:31" ht="14.4" x14ac:dyDescent="0.3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  <c r="AE355" s="217"/>
    </row>
    <row r="356" spans="1:31" ht="14.4" x14ac:dyDescent="0.3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  <c r="AE356" s="217"/>
    </row>
    <row r="357" spans="1:31" ht="14.4" x14ac:dyDescent="0.3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</row>
    <row r="358" spans="1:31" ht="14.4" x14ac:dyDescent="0.3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  <c r="AE358" s="217"/>
    </row>
    <row r="359" spans="1:31" ht="14.4" x14ac:dyDescent="0.3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  <c r="AE359" s="217"/>
    </row>
    <row r="360" spans="1:31" ht="14.4" x14ac:dyDescent="0.3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  <c r="AE360" s="217"/>
    </row>
    <row r="361" spans="1:31" ht="14.4" x14ac:dyDescent="0.3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  <c r="AE361" s="217"/>
    </row>
    <row r="362" spans="1:31" ht="14.4" x14ac:dyDescent="0.3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  <c r="AE362" s="217"/>
    </row>
    <row r="363" spans="1:31" ht="14.4" x14ac:dyDescent="0.3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  <c r="AE363" s="217"/>
    </row>
    <row r="364" spans="1:31" ht="14.4" x14ac:dyDescent="0.3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  <c r="AE364" s="217"/>
    </row>
    <row r="365" spans="1:31" ht="14.4" x14ac:dyDescent="0.3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  <c r="AE365" s="217"/>
    </row>
    <row r="366" spans="1:31" ht="14.4" x14ac:dyDescent="0.3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  <c r="AE366" s="217"/>
    </row>
    <row r="367" spans="1:31" ht="14.4" x14ac:dyDescent="0.3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  <c r="AE367" s="217"/>
    </row>
    <row r="368" spans="1:31" ht="14.4" x14ac:dyDescent="0.3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  <c r="AE368" s="217"/>
    </row>
    <row r="369" spans="1:31" ht="14.4" x14ac:dyDescent="0.3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  <c r="AE369" s="217"/>
    </row>
    <row r="370" spans="1:31" ht="14.4" x14ac:dyDescent="0.3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  <c r="AE370" s="217"/>
    </row>
    <row r="371" spans="1:31" ht="14.4" x14ac:dyDescent="0.3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  <c r="AE371" s="217"/>
    </row>
    <row r="372" spans="1:31" ht="14.4" x14ac:dyDescent="0.3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  <c r="AE372" s="217"/>
    </row>
    <row r="373" spans="1:31" ht="14.4" x14ac:dyDescent="0.3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  <c r="AE373" s="217"/>
    </row>
    <row r="374" spans="1:31" ht="14.4" x14ac:dyDescent="0.3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  <c r="AE374" s="217"/>
    </row>
    <row r="375" spans="1:31" ht="14.4" x14ac:dyDescent="0.3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  <c r="AE375" s="217"/>
    </row>
    <row r="376" spans="1:31" ht="14.4" x14ac:dyDescent="0.3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  <c r="AE376" s="217"/>
    </row>
    <row r="377" spans="1:31" ht="14.4" x14ac:dyDescent="0.3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  <c r="AE377" s="217"/>
    </row>
    <row r="378" spans="1:31" ht="14.4" x14ac:dyDescent="0.3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  <c r="AE378" s="217"/>
    </row>
    <row r="379" spans="1:31" ht="14.4" x14ac:dyDescent="0.3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  <c r="AE379" s="217"/>
    </row>
    <row r="380" spans="1:31" ht="14.4" x14ac:dyDescent="0.3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</row>
    <row r="381" spans="1:31" ht="14.4" x14ac:dyDescent="0.3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  <c r="AE381" s="217"/>
    </row>
    <row r="382" spans="1:31" ht="14.4" x14ac:dyDescent="0.3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  <c r="AE382" s="217"/>
    </row>
    <row r="383" spans="1:31" ht="14.4" x14ac:dyDescent="0.3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  <c r="AE383" s="217"/>
    </row>
    <row r="384" spans="1:31" ht="14.4" x14ac:dyDescent="0.3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  <c r="AE384" s="217"/>
    </row>
    <row r="385" spans="1:31" ht="14.4" x14ac:dyDescent="0.3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  <c r="AE385" s="217"/>
    </row>
    <row r="386" spans="1:31" ht="14.4" x14ac:dyDescent="0.3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  <c r="AE386" s="217"/>
    </row>
    <row r="387" spans="1:31" ht="14.4" x14ac:dyDescent="0.3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  <c r="AE387" s="217"/>
    </row>
    <row r="388" spans="1:31" ht="14.4" x14ac:dyDescent="0.3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  <c r="AE388" s="217"/>
    </row>
    <row r="389" spans="1:31" ht="14.4" x14ac:dyDescent="0.3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  <c r="AE389" s="217"/>
    </row>
    <row r="390" spans="1:31" ht="14.4" x14ac:dyDescent="0.3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  <c r="AE390" s="217"/>
    </row>
    <row r="391" spans="1:31" ht="14.4" x14ac:dyDescent="0.3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  <c r="AE391" s="217"/>
    </row>
    <row r="392" spans="1:31" ht="14.4" x14ac:dyDescent="0.3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  <c r="AE392" s="217"/>
    </row>
    <row r="393" spans="1:31" ht="14.4" x14ac:dyDescent="0.3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  <c r="AE393" s="217"/>
    </row>
    <row r="394" spans="1:31" ht="14.4" x14ac:dyDescent="0.3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  <c r="AE394" s="217"/>
    </row>
    <row r="395" spans="1:31" ht="14.4" x14ac:dyDescent="0.3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  <c r="AE395" s="217"/>
    </row>
    <row r="396" spans="1:31" ht="14.4" x14ac:dyDescent="0.3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  <c r="AE396" s="217"/>
    </row>
    <row r="397" spans="1:31" ht="14.4" x14ac:dyDescent="0.3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  <c r="AE397" s="217"/>
    </row>
    <row r="398" spans="1:31" ht="14.4" x14ac:dyDescent="0.3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  <c r="AE398" s="217"/>
    </row>
    <row r="399" spans="1:31" ht="14.4" x14ac:dyDescent="0.3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  <c r="AE399" s="217"/>
    </row>
    <row r="400" spans="1:31" ht="14.4" x14ac:dyDescent="0.3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  <c r="AE400" s="217"/>
    </row>
    <row r="401" spans="1:31" ht="14.4" x14ac:dyDescent="0.3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  <c r="AE401" s="217"/>
    </row>
    <row r="402" spans="1:31" ht="14.4" x14ac:dyDescent="0.3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  <c r="AE402" s="217"/>
    </row>
    <row r="403" spans="1:31" ht="14.4" x14ac:dyDescent="0.3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  <c r="AE403" s="217"/>
    </row>
    <row r="404" spans="1:31" ht="14.4" x14ac:dyDescent="0.3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</row>
    <row r="405" spans="1:31" ht="14.4" x14ac:dyDescent="0.3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</row>
    <row r="406" spans="1:31" ht="14.4" x14ac:dyDescent="0.3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</row>
    <row r="407" spans="1:31" ht="14.4" x14ac:dyDescent="0.3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</row>
    <row r="408" spans="1:31" ht="14.4" x14ac:dyDescent="0.3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</row>
    <row r="409" spans="1:31" ht="14.4" x14ac:dyDescent="0.3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</row>
    <row r="410" spans="1:31" ht="14.4" x14ac:dyDescent="0.3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</row>
    <row r="411" spans="1:31" ht="14.4" x14ac:dyDescent="0.3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</row>
    <row r="412" spans="1:31" ht="14.4" x14ac:dyDescent="0.3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</row>
    <row r="413" spans="1:31" ht="14.4" x14ac:dyDescent="0.3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</row>
    <row r="414" spans="1:31" ht="14.4" x14ac:dyDescent="0.3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</row>
    <row r="415" spans="1:31" ht="14.4" x14ac:dyDescent="0.3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</row>
    <row r="416" spans="1:31" ht="14.4" x14ac:dyDescent="0.3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</row>
    <row r="417" spans="1:31" ht="14.4" x14ac:dyDescent="0.3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</row>
    <row r="418" spans="1:31" ht="14.4" x14ac:dyDescent="0.3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</row>
    <row r="419" spans="1:31" ht="14.4" x14ac:dyDescent="0.3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</row>
    <row r="420" spans="1:31" ht="14.4" x14ac:dyDescent="0.3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</row>
    <row r="421" spans="1:31" ht="14.4" x14ac:dyDescent="0.3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</row>
    <row r="422" spans="1:31" ht="14.4" x14ac:dyDescent="0.3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</row>
    <row r="423" spans="1:31" ht="14.4" x14ac:dyDescent="0.3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</row>
    <row r="424" spans="1:31" ht="14.4" x14ac:dyDescent="0.3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</row>
    <row r="425" spans="1:31" ht="14.4" x14ac:dyDescent="0.3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</row>
    <row r="426" spans="1:31" ht="14.4" x14ac:dyDescent="0.3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</row>
    <row r="427" spans="1:31" ht="14.4" x14ac:dyDescent="0.3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</row>
    <row r="428" spans="1:31" ht="14.4" x14ac:dyDescent="0.3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</row>
    <row r="429" spans="1:31" ht="14.4" x14ac:dyDescent="0.3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</row>
    <row r="430" spans="1:31" ht="14.4" x14ac:dyDescent="0.3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</row>
    <row r="431" spans="1:31" ht="14.4" x14ac:dyDescent="0.3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</row>
    <row r="432" spans="1:31" ht="14.4" x14ac:dyDescent="0.3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</row>
    <row r="433" spans="1:31" ht="14.4" x14ac:dyDescent="0.3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</row>
    <row r="434" spans="1:31" ht="14.4" x14ac:dyDescent="0.3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</row>
    <row r="435" spans="1:31" ht="14.4" x14ac:dyDescent="0.3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</row>
    <row r="436" spans="1:31" ht="14.4" x14ac:dyDescent="0.3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</row>
    <row r="437" spans="1:31" ht="14.4" x14ac:dyDescent="0.3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</row>
    <row r="438" spans="1:31" ht="14.4" x14ac:dyDescent="0.3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</row>
    <row r="439" spans="1:31" ht="14.4" x14ac:dyDescent="0.3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</row>
    <row r="440" spans="1:31" ht="14.4" x14ac:dyDescent="0.3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</row>
    <row r="441" spans="1:31" ht="14.4" x14ac:dyDescent="0.3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</row>
    <row r="442" spans="1:31" ht="14.4" x14ac:dyDescent="0.3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</row>
    <row r="443" spans="1:31" ht="14.4" x14ac:dyDescent="0.3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</row>
    <row r="444" spans="1:31" ht="14.4" x14ac:dyDescent="0.3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</row>
    <row r="445" spans="1:31" ht="14.4" x14ac:dyDescent="0.3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</row>
    <row r="446" spans="1:31" ht="14.4" x14ac:dyDescent="0.3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</row>
    <row r="447" spans="1:31" ht="14.4" x14ac:dyDescent="0.3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</row>
    <row r="448" spans="1:31" ht="14.4" x14ac:dyDescent="0.3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</row>
    <row r="449" spans="1:31" ht="14.4" x14ac:dyDescent="0.3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</row>
    <row r="450" spans="1:31" ht="14.4" x14ac:dyDescent="0.3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</row>
    <row r="451" spans="1:31" ht="14.4" x14ac:dyDescent="0.3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</row>
    <row r="452" spans="1:31" ht="14.4" x14ac:dyDescent="0.3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</row>
    <row r="453" spans="1:31" ht="14.4" x14ac:dyDescent="0.3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</row>
    <row r="454" spans="1:31" ht="14.4" x14ac:dyDescent="0.3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</row>
    <row r="455" spans="1:31" ht="14.4" x14ac:dyDescent="0.3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</row>
    <row r="456" spans="1:31" ht="14.4" x14ac:dyDescent="0.3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</row>
    <row r="457" spans="1:31" ht="14.4" x14ac:dyDescent="0.3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</row>
    <row r="458" spans="1:31" ht="14.4" x14ac:dyDescent="0.3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</row>
    <row r="459" spans="1:31" ht="14.4" x14ac:dyDescent="0.3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</row>
    <row r="460" spans="1:31" ht="14.4" x14ac:dyDescent="0.3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</row>
    <row r="461" spans="1:31" ht="14.4" x14ac:dyDescent="0.3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</row>
    <row r="462" spans="1:31" ht="14.4" x14ac:dyDescent="0.3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</row>
    <row r="463" spans="1:31" ht="14.4" x14ac:dyDescent="0.3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</row>
    <row r="464" spans="1:31" ht="14.4" x14ac:dyDescent="0.3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</row>
    <row r="465" spans="1:31" ht="14.4" x14ac:dyDescent="0.3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</row>
    <row r="466" spans="1:31" ht="14.4" x14ac:dyDescent="0.3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</row>
    <row r="467" spans="1:31" ht="14.4" x14ac:dyDescent="0.3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</row>
    <row r="468" spans="1:31" ht="14.4" x14ac:dyDescent="0.3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</row>
    <row r="469" spans="1:31" ht="14.4" x14ac:dyDescent="0.3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</row>
    <row r="470" spans="1:31" ht="14.4" x14ac:dyDescent="0.3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</row>
    <row r="471" spans="1:31" ht="14.4" x14ac:dyDescent="0.3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</row>
    <row r="472" spans="1:31" ht="14.4" x14ac:dyDescent="0.3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</row>
    <row r="473" spans="1:31" ht="14.4" x14ac:dyDescent="0.3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</row>
    <row r="474" spans="1:31" ht="14.4" x14ac:dyDescent="0.3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</row>
    <row r="475" spans="1:31" ht="14.4" x14ac:dyDescent="0.3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</row>
    <row r="476" spans="1:31" ht="14.4" x14ac:dyDescent="0.3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</row>
    <row r="477" spans="1:31" ht="14.4" x14ac:dyDescent="0.3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</row>
    <row r="478" spans="1:31" ht="14.4" x14ac:dyDescent="0.3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</row>
    <row r="479" spans="1:31" ht="14.4" x14ac:dyDescent="0.3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</row>
    <row r="480" spans="1:31" ht="14.4" x14ac:dyDescent="0.3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</row>
    <row r="481" spans="1:31" ht="14.4" x14ac:dyDescent="0.3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</row>
    <row r="482" spans="1:31" ht="14.4" x14ac:dyDescent="0.3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</row>
    <row r="483" spans="1:31" ht="14.4" x14ac:dyDescent="0.3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</row>
    <row r="484" spans="1:31" ht="14.4" x14ac:dyDescent="0.3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</row>
    <row r="485" spans="1:31" ht="14.4" x14ac:dyDescent="0.3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</row>
    <row r="486" spans="1:31" ht="14.4" x14ac:dyDescent="0.3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</row>
    <row r="487" spans="1:31" ht="14.4" x14ac:dyDescent="0.3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</row>
    <row r="488" spans="1:31" ht="14.4" x14ac:dyDescent="0.3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</row>
    <row r="489" spans="1:31" ht="14.4" x14ac:dyDescent="0.3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</row>
    <row r="490" spans="1:31" ht="14.4" x14ac:dyDescent="0.3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</row>
    <row r="491" spans="1:31" ht="14.4" x14ac:dyDescent="0.3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</row>
    <row r="492" spans="1:31" ht="14.4" x14ac:dyDescent="0.3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</row>
    <row r="493" spans="1:31" ht="14.4" x14ac:dyDescent="0.3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</row>
    <row r="494" spans="1:31" ht="14.4" x14ac:dyDescent="0.3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</row>
    <row r="495" spans="1:31" ht="14.4" x14ac:dyDescent="0.3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</row>
    <row r="496" spans="1:31" ht="14.4" x14ac:dyDescent="0.3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</row>
    <row r="497" spans="1:31" ht="14.4" x14ac:dyDescent="0.3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</row>
    <row r="498" spans="1:31" ht="14.4" x14ac:dyDescent="0.3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</row>
    <row r="499" spans="1:31" ht="14.4" x14ac:dyDescent="0.3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</row>
    <row r="500" spans="1:31" ht="14.4" x14ac:dyDescent="0.3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</row>
    <row r="501" spans="1:31" ht="14.4" x14ac:dyDescent="0.3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</row>
    <row r="502" spans="1:31" ht="14.4" x14ac:dyDescent="0.3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</row>
    <row r="503" spans="1:31" ht="14.4" x14ac:dyDescent="0.3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</row>
    <row r="504" spans="1:31" ht="14.4" x14ac:dyDescent="0.3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</row>
    <row r="505" spans="1:31" ht="14.4" x14ac:dyDescent="0.3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</row>
    <row r="506" spans="1:31" ht="14.4" x14ac:dyDescent="0.3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</row>
    <row r="507" spans="1:31" ht="14.4" x14ac:dyDescent="0.3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</row>
    <row r="508" spans="1:31" ht="14.4" x14ac:dyDescent="0.3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</row>
    <row r="509" spans="1:31" ht="14.4" x14ac:dyDescent="0.3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</row>
    <row r="510" spans="1:31" ht="14.4" x14ac:dyDescent="0.3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</row>
    <row r="511" spans="1:31" ht="14.4" x14ac:dyDescent="0.3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</row>
    <row r="512" spans="1:31" ht="14.4" x14ac:dyDescent="0.3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</row>
    <row r="513" spans="1:31" ht="14.4" x14ac:dyDescent="0.3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</row>
    <row r="514" spans="1:31" ht="14.4" x14ac:dyDescent="0.3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</row>
    <row r="515" spans="1:31" ht="14.4" x14ac:dyDescent="0.3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</row>
    <row r="516" spans="1:31" ht="14.4" x14ac:dyDescent="0.3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</row>
    <row r="517" spans="1:31" ht="14.4" x14ac:dyDescent="0.3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</row>
    <row r="518" spans="1:31" ht="14.4" x14ac:dyDescent="0.3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</row>
    <row r="519" spans="1:31" ht="14.4" x14ac:dyDescent="0.3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</row>
    <row r="520" spans="1:31" ht="14.4" x14ac:dyDescent="0.3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</row>
    <row r="521" spans="1:31" ht="14.4" x14ac:dyDescent="0.3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</row>
    <row r="522" spans="1:31" ht="14.4" x14ac:dyDescent="0.3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</row>
    <row r="523" spans="1:31" ht="14.4" x14ac:dyDescent="0.3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</row>
    <row r="524" spans="1:31" ht="14.4" x14ac:dyDescent="0.3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</row>
    <row r="525" spans="1:31" ht="14.4" x14ac:dyDescent="0.3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</row>
    <row r="526" spans="1:31" ht="14.4" x14ac:dyDescent="0.3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</row>
    <row r="527" spans="1:31" ht="14.4" x14ac:dyDescent="0.3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</row>
    <row r="528" spans="1:31" ht="14.4" x14ac:dyDescent="0.3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</row>
    <row r="529" spans="1:31" ht="14.4" x14ac:dyDescent="0.3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</row>
    <row r="530" spans="1:31" ht="14.4" x14ac:dyDescent="0.3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</row>
    <row r="531" spans="1:31" ht="14.4" x14ac:dyDescent="0.3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</row>
    <row r="532" spans="1:31" ht="14.4" x14ac:dyDescent="0.3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</row>
    <row r="533" spans="1:31" ht="14.4" x14ac:dyDescent="0.3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</row>
    <row r="534" spans="1:31" ht="14.4" x14ac:dyDescent="0.3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</row>
    <row r="535" spans="1:31" ht="14.4" x14ac:dyDescent="0.3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</row>
    <row r="536" spans="1:31" ht="14.4" x14ac:dyDescent="0.3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</row>
    <row r="537" spans="1:31" ht="14.4" x14ac:dyDescent="0.3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</row>
    <row r="538" spans="1:31" ht="14.4" x14ac:dyDescent="0.3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</row>
    <row r="539" spans="1:31" ht="14.4" x14ac:dyDescent="0.3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</row>
    <row r="540" spans="1:31" ht="14.4" x14ac:dyDescent="0.3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</row>
    <row r="541" spans="1:31" ht="14.4" x14ac:dyDescent="0.3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</row>
    <row r="542" spans="1:31" ht="14.4" x14ac:dyDescent="0.3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</row>
    <row r="543" spans="1:31" ht="14.4" x14ac:dyDescent="0.3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</row>
    <row r="544" spans="1:31" ht="14.4" x14ac:dyDescent="0.3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</row>
    <row r="545" spans="1:31" ht="14.4" x14ac:dyDescent="0.3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</row>
    <row r="546" spans="1:31" ht="14.4" x14ac:dyDescent="0.3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</row>
    <row r="547" spans="1:31" ht="14.4" x14ac:dyDescent="0.3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</row>
    <row r="548" spans="1:31" ht="14.4" x14ac:dyDescent="0.3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</row>
    <row r="549" spans="1:31" ht="14.4" x14ac:dyDescent="0.3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</row>
    <row r="550" spans="1:31" ht="14.4" x14ac:dyDescent="0.3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</row>
    <row r="551" spans="1:31" ht="14.4" x14ac:dyDescent="0.3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</row>
    <row r="552" spans="1:31" ht="14.4" x14ac:dyDescent="0.3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</row>
    <row r="553" spans="1:31" ht="14.4" x14ac:dyDescent="0.3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</row>
    <row r="554" spans="1:31" ht="14.4" x14ac:dyDescent="0.3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</row>
    <row r="555" spans="1:31" ht="14.4" x14ac:dyDescent="0.3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</row>
    <row r="556" spans="1:31" ht="14.4" x14ac:dyDescent="0.3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</row>
    <row r="557" spans="1:31" ht="14.4" x14ac:dyDescent="0.3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</row>
    <row r="558" spans="1:31" ht="14.4" x14ac:dyDescent="0.3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</row>
    <row r="559" spans="1:31" ht="14.4" x14ac:dyDescent="0.3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</row>
    <row r="560" spans="1:31" ht="14.4" x14ac:dyDescent="0.3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</row>
    <row r="561" spans="1:31" ht="14.4" x14ac:dyDescent="0.3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</row>
    <row r="562" spans="1:31" ht="14.4" x14ac:dyDescent="0.3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</row>
    <row r="563" spans="1:31" ht="14.4" x14ac:dyDescent="0.3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</row>
    <row r="564" spans="1:31" ht="14.4" x14ac:dyDescent="0.3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</row>
    <row r="565" spans="1:31" ht="14.4" x14ac:dyDescent="0.3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</row>
    <row r="566" spans="1:31" ht="14.4" x14ac:dyDescent="0.3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</row>
    <row r="567" spans="1:31" ht="14.4" x14ac:dyDescent="0.3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</row>
    <row r="568" spans="1:31" ht="14.4" x14ac:dyDescent="0.3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</row>
    <row r="569" spans="1:31" ht="14.4" x14ac:dyDescent="0.3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</row>
    <row r="570" spans="1:31" ht="14.4" x14ac:dyDescent="0.3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</row>
    <row r="571" spans="1:31" ht="14.4" x14ac:dyDescent="0.3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</row>
    <row r="572" spans="1:31" ht="14.4" x14ac:dyDescent="0.3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</row>
    <row r="573" spans="1:31" ht="14.4" x14ac:dyDescent="0.3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</row>
    <row r="574" spans="1:31" ht="14.4" x14ac:dyDescent="0.3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</row>
    <row r="575" spans="1:31" ht="14.4" x14ac:dyDescent="0.3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</row>
    <row r="576" spans="1:31" ht="14.4" x14ac:dyDescent="0.3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</row>
    <row r="577" spans="1:31" ht="14.4" x14ac:dyDescent="0.3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</row>
    <row r="578" spans="1:31" ht="14.4" x14ac:dyDescent="0.3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</row>
    <row r="579" spans="1:31" ht="14.4" x14ac:dyDescent="0.3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</row>
    <row r="580" spans="1:31" ht="14.4" x14ac:dyDescent="0.3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</row>
    <row r="581" spans="1:31" ht="14.4" x14ac:dyDescent="0.3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</row>
    <row r="582" spans="1:31" ht="14.4" x14ac:dyDescent="0.3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</row>
    <row r="583" spans="1:31" ht="14.4" x14ac:dyDescent="0.3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</row>
    <row r="584" spans="1:31" ht="14.4" x14ac:dyDescent="0.3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</row>
    <row r="585" spans="1:31" ht="14.4" x14ac:dyDescent="0.3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</row>
    <row r="586" spans="1:31" ht="14.4" x14ac:dyDescent="0.3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</row>
    <row r="587" spans="1:31" ht="14.4" x14ac:dyDescent="0.3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</row>
    <row r="588" spans="1:31" ht="14.4" x14ac:dyDescent="0.3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</row>
    <row r="589" spans="1:31" ht="14.4" x14ac:dyDescent="0.3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</row>
    <row r="590" spans="1:31" ht="14.4" x14ac:dyDescent="0.3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</row>
    <row r="591" spans="1:31" ht="14.4" x14ac:dyDescent="0.3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</row>
    <row r="592" spans="1:31" ht="14.4" x14ac:dyDescent="0.3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</row>
    <row r="593" spans="1:31" ht="14.4" x14ac:dyDescent="0.3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</row>
    <row r="594" spans="1:31" ht="14.4" x14ac:dyDescent="0.3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</row>
    <row r="595" spans="1:31" ht="14.4" x14ac:dyDescent="0.3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</row>
    <row r="596" spans="1:31" ht="14.4" x14ac:dyDescent="0.3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</row>
    <row r="597" spans="1:31" ht="14.4" x14ac:dyDescent="0.3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</row>
    <row r="598" spans="1:31" ht="14.4" x14ac:dyDescent="0.3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</row>
    <row r="599" spans="1:31" ht="14.4" x14ac:dyDescent="0.3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</row>
    <row r="600" spans="1:31" ht="14.4" x14ac:dyDescent="0.3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</row>
    <row r="601" spans="1:31" ht="14.4" x14ac:dyDescent="0.3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</row>
    <row r="602" spans="1:31" ht="14.4" x14ac:dyDescent="0.3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</row>
    <row r="603" spans="1:31" ht="14.4" x14ac:dyDescent="0.3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</row>
    <row r="604" spans="1:31" ht="14.4" x14ac:dyDescent="0.3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</row>
    <row r="605" spans="1:31" ht="14.4" x14ac:dyDescent="0.3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</row>
    <row r="606" spans="1:31" ht="14.4" x14ac:dyDescent="0.3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</row>
    <row r="607" spans="1:31" ht="14.4" x14ac:dyDescent="0.3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</row>
    <row r="608" spans="1:31" ht="14.4" x14ac:dyDescent="0.3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</row>
    <row r="609" spans="1:31" ht="14.4" x14ac:dyDescent="0.3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</row>
    <row r="610" spans="1:31" ht="14.4" x14ac:dyDescent="0.3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</row>
    <row r="611" spans="1:31" ht="14.4" x14ac:dyDescent="0.3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</row>
    <row r="612" spans="1:31" ht="14.4" x14ac:dyDescent="0.3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</row>
    <row r="613" spans="1:31" ht="14.4" x14ac:dyDescent="0.3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</row>
    <row r="614" spans="1:31" ht="14.4" x14ac:dyDescent="0.3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</row>
    <row r="615" spans="1:31" ht="14.4" x14ac:dyDescent="0.3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</row>
    <row r="616" spans="1:31" ht="14.4" x14ac:dyDescent="0.3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</row>
    <row r="617" spans="1:31" ht="14.4" x14ac:dyDescent="0.3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</row>
    <row r="618" spans="1:31" ht="14.4" x14ac:dyDescent="0.3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</row>
    <row r="619" spans="1:31" ht="14.4" x14ac:dyDescent="0.3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</row>
    <row r="620" spans="1:31" ht="14.4" x14ac:dyDescent="0.3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</row>
    <row r="621" spans="1:31" ht="14.4" x14ac:dyDescent="0.3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</row>
    <row r="622" spans="1:31" ht="14.4" x14ac:dyDescent="0.3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</row>
    <row r="623" spans="1:31" ht="14.4" x14ac:dyDescent="0.3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</row>
    <row r="624" spans="1:31" ht="14.4" x14ac:dyDescent="0.3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</row>
    <row r="625" spans="1:31" ht="14.4" x14ac:dyDescent="0.3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</row>
    <row r="626" spans="1:31" ht="14.4" x14ac:dyDescent="0.3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</row>
    <row r="627" spans="1:31" ht="14.4" x14ac:dyDescent="0.3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</row>
    <row r="628" spans="1:31" ht="14.4" x14ac:dyDescent="0.3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</row>
    <row r="629" spans="1:31" ht="14.4" x14ac:dyDescent="0.3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</row>
    <row r="630" spans="1:31" ht="14.4" x14ac:dyDescent="0.3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</row>
    <row r="631" spans="1:31" ht="14.4" x14ac:dyDescent="0.3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</row>
    <row r="632" spans="1:31" ht="14.4" x14ac:dyDescent="0.3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</row>
    <row r="633" spans="1:31" ht="14.4" x14ac:dyDescent="0.3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</row>
    <row r="634" spans="1:31" ht="14.4" x14ac:dyDescent="0.3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</row>
    <row r="635" spans="1:31" ht="14.4" x14ac:dyDescent="0.3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</row>
    <row r="636" spans="1:31" ht="14.4" x14ac:dyDescent="0.3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</row>
    <row r="637" spans="1:31" ht="14.4" x14ac:dyDescent="0.3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</row>
    <row r="638" spans="1:31" ht="14.4" x14ac:dyDescent="0.3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</row>
    <row r="639" spans="1:31" ht="14.4" x14ac:dyDescent="0.3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</row>
    <row r="640" spans="1:31" ht="14.4" x14ac:dyDescent="0.3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</row>
    <row r="641" spans="1:31" ht="14.4" x14ac:dyDescent="0.3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</row>
    <row r="642" spans="1:31" ht="14.4" x14ac:dyDescent="0.3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</row>
    <row r="643" spans="1:31" ht="14.4" x14ac:dyDescent="0.3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</row>
    <row r="644" spans="1:31" ht="14.4" x14ac:dyDescent="0.3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</row>
    <row r="645" spans="1:31" ht="14.4" x14ac:dyDescent="0.3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</row>
    <row r="646" spans="1:31" ht="14.4" x14ac:dyDescent="0.3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</row>
    <row r="647" spans="1:31" ht="14.4" x14ac:dyDescent="0.3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</row>
    <row r="648" spans="1:31" ht="14.4" x14ac:dyDescent="0.3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</row>
    <row r="649" spans="1:31" ht="14.4" x14ac:dyDescent="0.3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</row>
    <row r="650" spans="1:31" ht="14.4" x14ac:dyDescent="0.3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</row>
    <row r="651" spans="1:31" ht="14.4" x14ac:dyDescent="0.3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</row>
    <row r="652" spans="1:31" ht="14.4" x14ac:dyDescent="0.3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</row>
    <row r="653" spans="1:31" ht="14.4" x14ac:dyDescent="0.3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</row>
    <row r="654" spans="1:31" ht="14.4" x14ac:dyDescent="0.3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</row>
    <row r="655" spans="1:31" ht="14.4" x14ac:dyDescent="0.3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</row>
    <row r="656" spans="1:31" ht="14.4" x14ac:dyDescent="0.3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</row>
    <row r="657" spans="1:31" ht="14.4" x14ac:dyDescent="0.3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</row>
    <row r="658" spans="1:31" ht="14.4" x14ac:dyDescent="0.3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</row>
    <row r="659" spans="1:31" ht="14.4" x14ac:dyDescent="0.3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</row>
    <row r="660" spans="1:31" ht="14.4" x14ac:dyDescent="0.3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</row>
    <row r="661" spans="1:31" ht="14.4" x14ac:dyDescent="0.3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</row>
    <row r="662" spans="1:31" ht="14.4" x14ac:dyDescent="0.3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</row>
    <row r="663" spans="1:31" ht="14.4" x14ac:dyDescent="0.3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</row>
    <row r="664" spans="1:31" ht="14.4" x14ac:dyDescent="0.3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</row>
    <row r="665" spans="1:31" ht="14.4" x14ac:dyDescent="0.3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</row>
    <row r="666" spans="1:31" ht="14.4" x14ac:dyDescent="0.3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</row>
    <row r="667" spans="1:31" ht="14.4" x14ac:dyDescent="0.3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</row>
    <row r="668" spans="1:31" ht="14.4" x14ac:dyDescent="0.3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</row>
    <row r="669" spans="1:31" ht="14.4" x14ac:dyDescent="0.3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</row>
    <row r="670" spans="1:31" ht="14.4" x14ac:dyDescent="0.3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</row>
    <row r="671" spans="1:31" ht="14.4" x14ac:dyDescent="0.3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</row>
    <row r="672" spans="1:31" ht="14.4" x14ac:dyDescent="0.3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</row>
    <row r="673" spans="1:31" ht="14.4" x14ac:dyDescent="0.3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</row>
    <row r="674" spans="1:31" ht="14.4" x14ac:dyDescent="0.3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</row>
    <row r="675" spans="1:31" ht="14.4" x14ac:dyDescent="0.3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</row>
    <row r="676" spans="1:31" ht="14.4" x14ac:dyDescent="0.3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</row>
    <row r="677" spans="1:31" ht="14.4" x14ac:dyDescent="0.3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</row>
    <row r="678" spans="1:31" ht="14.4" x14ac:dyDescent="0.3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</row>
    <row r="679" spans="1:31" ht="14.4" x14ac:dyDescent="0.3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</row>
    <row r="680" spans="1:31" ht="14.4" x14ac:dyDescent="0.3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</row>
    <row r="681" spans="1:31" ht="14.4" x14ac:dyDescent="0.3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</row>
    <row r="682" spans="1:31" ht="14.4" x14ac:dyDescent="0.3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</row>
    <row r="683" spans="1:31" ht="14.4" x14ac:dyDescent="0.3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</row>
    <row r="684" spans="1:31" ht="14.4" x14ac:dyDescent="0.3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</row>
    <row r="685" spans="1:31" ht="14.4" x14ac:dyDescent="0.3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</row>
    <row r="686" spans="1:31" ht="14.4" x14ac:dyDescent="0.3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</row>
    <row r="687" spans="1:31" ht="14.4" x14ac:dyDescent="0.3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</row>
    <row r="688" spans="1:31" ht="14.4" x14ac:dyDescent="0.3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</row>
    <row r="689" spans="1:31" ht="14.4" x14ac:dyDescent="0.3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</row>
    <row r="690" spans="1:31" ht="14.4" x14ac:dyDescent="0.3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</row>
    <row r="691" spans="1:31" ht="14.4" x14ac:dyDescent="0.3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</row>
    <row r="692" spans="1:31" ht="14.4" x14ac:dyDescent="0.3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</row>
    <row r="693" spans="1:31" ht="14.4" x14ac:dyDescent="0.3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</row>
    <row r="694" spans="1:31" ht="14.4" x14ac:dyDescent="0.3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</row>
    <row r="695" spans="1:31" ht="14.4" x14ac:dyDescent="0.3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</row>
    <row r="696" spans="1:31" ht="14.4" x14ac:dyDescent="0.3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</row>
    <row r="697" spans="1:31" ht="14.4" x14ac:dyDescent="0.3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</row>
    <row r="698" spans="1:31" ht="14.4" x14ac:dyDescent="0.3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</row>
    <row r="699" spans="1:31" ht="14.4" x14ac:dyDescent="0.3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</row>
    <row r="700" spans="1:31" ht="14.4" x14ac:dyDescent="0.3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</row>
    <row r="701" spans="1:31" ht="14.4" x14ac:dyDescent="0.3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</row>
    <row r="702" spans="1:31" ht="14.4" x14ac:dyDescent="0.3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</row>
    <row r="703" spans="1:31" ht="14.4" x14ac:dyDescent="0.3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</row>
    <row r="704" spans="1:31" ht="14.4" x14ac:dyDescent="0.3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</row>
    <row r="705" spans="1:31" ht="14.4" x14ac:dyDescent="0.3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</row>
    <row r="706" spans="1:31" ht="14.4" x14ac:dyDescent="0.3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</row>
    <row r="707" spans="1:31" ht="14.4" x14ac:dyDescent="0.3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</row>
    <row r="708" spans="1:31" ht="14.4" x14ac:dyDescent="0.3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</row>
    <row r="709" spans="1:31" ht="14.4" x14ac:dyDescent="0.3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</row>
    <row r="710" spans="1:31" ht="14.4" x14ac:dyDescent="0.3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</row>
    <row r="711" spans="1:31" ht="14.4" x14ac:dyDescent="0.3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</row>
    <row r="712" spans="1:31" ht="14.4" x14ac:dyDescent="0.3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</row>
    <row r="713" spans="1:31" ht="14.4" x14ac:dyDescent="0.3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</row>
    <row r="714" spans="1:31" ht="14.4" x14ac:dyDescent="0.3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</row>
    <row r="715" spans="1:31" ht="14.4" x14ac:dyDescent="0.3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</row>
    <row r="716" spans="1:31" ht="14.4" x14ac:dyDescent="0.3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</row>
    <row r="717" spans="1:31" ht="14.4" x14ac:dyDescent="0.3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</row>
    <row r="718" spans="1:31" ht="14.4" x14ac:dyDescent="0.3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</row>
    <row r="719" spans="1:31" ht="14.4" x14ac:dyDescent="0.3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</row>
    <row r="720" spans="1:31" ht="14.4" x14ac:dyDescent="0.3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</row>
    <row r="721" spans="1:31" ht="14.4" x14ac:dyDescent="0.3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</row>
    <row r="722" spans="1:31" ht="14.4" x14ac:dyDescent="0.3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</row>
    <row r="723" spans="1:31" ht="14.4" x14ac:dyDescent="0.3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</row>
    <row r="724" spans="1:31" ht="14.4" x14ac:dyDescent="0.3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</row>
    <row r="725" spans="1:31" ht="14.4" x14ac:dyDescent="0.3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</row>
    <row r="726" spans="1:31" ht="14.4" x14ac:dyDescent="0.3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</row>
    <row r="727" spans="1:31" ht="14.4" x14ac:dyDescent="0.3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</row>
    <row r="728" spans="1:31" ht="14.4" x14ac:dyDescent="0.3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</row>
    <row r="729" spans="1:31" ht="14.4" x14ac:dyDescent="0.3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</row>
    <row r="730" spans="1:31" ht="14.4" x14ac:dyDescent="0.3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</row>
    <row r="731" spans="1:31" ht="14.4" x14ac:dyDescent="0.3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</row>
    <row r="732" spans="1:31" ht="14.4" x14ac:dyDescent="0.3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</row>
    <row r="733" spans="1:31" ht="14.4" x14ac:dyDescent="0.3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</row>
    <row r="734" spans="1:31" ht="14.4" x14ac:dyDescent="0.3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</row>
    <row r="735" spans="1:31" ht="14.4" x14ac:dyDescent="0.3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</row>
    <row r="736" spans="1:31" ht="14.4" x14ac:dyDescent="0.3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</row>
    <row r="737" spans="1:31" ht="14.4" x14ac:dyDescent="0.3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</row>
    <row r="738" spans="1:31" ht="14.4" x14ac:dyDescent="0.3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</row>
    <row r="739" spans="1:31" ht="14.4" x14ac:dyDescent="0.3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</row>
    <row r="740" spans="1:31" ht="14.4" x14ac:dyDescent="0.3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</row>
    <row r="741" spans="1:31" ht="14.4" x14ac:dyDescent="0.3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</row>
    <row r="742" spans="1:31" ht="14.4" x14ac:dyDescent="0.3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</row>
    <row r="743" spans="1:31" ht="14.4" x14ac:dyDescent="0.3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</row>
    <row r="744" spans="1:31" ht="14.4" x14ac:dyDescent="0.3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</row>
    <row r="745" spans="1:31" ht="14.4" x14ac:dyDescent="0.3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</row>
    <row r="746" spans="1:31" ht="14.4" x14ac:dyDescent="0.3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</row>
    <row r="747" spans="1:31" ht="14.4" x14ac:dyDescent="0.3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</row>
    <row r="748" spans="1:31" ht="14.4" x14ac:dyDescent="0.3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</row>
    <row r="749" spans="1:31" ht="14.4" x14ac:dyDescent="0.3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</row>
    <row r="750" spans="1:31" ht="14.4" x14ac:dyDescent="0.3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</row>
    <row r="751" spans="1:31" ht="14.4" x14ac:dyDescent="0.3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</row>
    <row r="752" spans="1:31" ht="14.4" x14ac:dyDescent="0.3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</row>
    <row r="753" spans="1:31" ht="14.4" x14ac:dyDescent="0.3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</row>
    <row r="754" spans="1:31" ht="14.4" x14ac:dyDescent="0.3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</row>
    <row r="755" spans="1:31" ht="14.4" x14ac:dyDescent="0.3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</row>
    <row r="756" spans="1:31" ht="14.4" x14ac:dyDescent="0.3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</row>
    <row r="757" spans="1:31" ht="14.4" x14ac:dyDescent="0.3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</row>
    <row r="758" spans="1:31" ht="14.4" x14ac:dyDescent="0.3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</row>
    <row r="759" spans="1:31" ht="14.4" x14ac:dyDescent="0.3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</row>
    <row r="760" spans="1:31" ht="14.4" x14ac:dyDescent="0.3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</row>
    <row r="761" spans="1:31" ht="14.4" x14ac:dyDescent="0.3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</row>
    <row r="762" spans="1:31" ht="14.4" x14ac:dyDescent="0.3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</row>
    <row r="763" spans="1:31" ht="14.4" x14ac:dyDescent="0.3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</row>
    <row r="764" spans="1:31" ht="14.4" x14ac:dyDescent="0.3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</row>
    <row r="765" spans="1:31" ht="14.4" x14ac:dyDescent="0.3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</row>
    <row r="766" spans="1:31" ht="14.4" x14ac:dyDescent="0.3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</row>
    <row r="767" spans="1:31" ht="14.4" x14ac:dyDescent="0.3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</row>
    <row r="768" spans="1:31" ht="14.4" x14ac:dyDescent="0.3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</row>
    <row r="769" spans="1:31" ht="14.4" x14ac:dyDescent="0.3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</row>
    <row r="770" spans="1:31" ht="14.4" x14ac:dyDescent="0.3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</row>
    <row r="771" spans="1:31" ht="14.4" x14ac:dyDescent="0.3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</row>
    <row r="772" spans="1:31" ht="14.4" x14ac:dyDescent="0.3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</row>
    <row r="773" spans="1:31" ht="14.4" x14ac:dyDescent="0.3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</row>
    <row r="774" spans="1:31" ht="14.4" x14ac:dyDescent="0.3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</row>
    <row r="775" spans="1:31" ht="14.4" x14ac:dyDescent="0.3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</row>
    <row r="776" spans="1:31" ht="14.4" x14ac:dyDescent="0.3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</row>
    <row r="777" spans="1:31" ht="14.4" x14ac:dyDescent="0.3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</row>
    <row r="778" spans="1:31" ht="14.4" x14ac:dyDescent="0.3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</row>
    <row r="779" spans="1:31" ht="14.4" x14ac:dyDescent="0.3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</row>
    <row r="780" spans="1:31" ht="14.4" x14ac:dyDescent="0.3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</row>
    <row r="781" spans="1:31" ht="14.4" x14ac:dyDescent="0.3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</row>
    <row r="782" spans="1:31" ht="14.4" x14ac:dyDescent="0.3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</row>
    <row r="783" spans="1:31" ht="14.4" x14ac:dyDescent="0.3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</row>
    <row r="784" spans="1:31" ht="14.4" x14ac:dyDescent="0.3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</row>
    <row r="785" spans="1:31" ht="14.4" x14ac:dyDescent="0.3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</row>
    <row r="786" spans="1:31" ht="14.4" x14ac:dyDescent="0.3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</row>
    <row r="787" spans="1:31" ht="14.4" x14ac:dyDescent="0.3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</row>
    <row r="788" spans="1:31" ht="14.4" x14ac:dyDescent="0.3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</row>
    <row r="789" spans="1:31" ht="14.4" x14ac:dyDescent="0.3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</row>
    <row r="790" spans="1:31" ht="14.4" x14ac:dyDescent="0.3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</row>
    <row r="791" spans="1:31" ht="14.4" x14ac:dyDescent="0.3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</row>
    <row r="792" spans="1:31" ht="14.4" x14ac:dyDescent="0.3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</row>
    <row r="793" spans="1:31" ht="14.4" x14ac:dyDescent="0.3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</row>
    <row r="794" spans="1:31" ht="14.4" x14ac:dyDescent="0.3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</row>
    <row r="795" spans="1:31" ht="14.4" x14ac:dyDescent="0.3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</row>
    <row r="796" spans="1:31" ht="14.4" x14ac:dyDescent="0.3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</row>
    <row r="797" spans="1:31" ht="14.4" x14ac:dyDescent="0.3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</row>
    <row r="798" spans="1:31" ht="14.4" x14ac:dyDescent="0.3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</row>
    <row r="799" spans="1:31" ht="14.4" x14ac:dyDescent="0.3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</row>
    <row r="800" spans="1:31" ht="14.4" x14ac:dyDescent="0.3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</row>
    <row r="801" spans="1:31" ht="14.4" x14ac:dyDescent="0.3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</row>
    <row r="802" spans="1:31" ht="14.4" x14ac:dyDescent="0.3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</row>
    <row r="803" spans="1:31" ht="14.4" x14ac:dyDescent="0.3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</row>
    <row r="804" spans="1:31" ht="14.4" x14ac:dyDescent="0.3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</row>
    <row r="805" spans="1:31" ht="14.4" x14ac:dyDescent="0.3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</row>
    <row r="806" spans="1:31" ht="14.4" x14ac:dyDescent="0.3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</row>
    <row r="807" spans="1:31" ht="14.4" x14ac:dyDescent="0.3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</row>
    <row r="808" spans="1:31" ht="14.4" x14ac:dyDescent="0.3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</row>
    <row r="809" spans="1:31" ht="14.4" x14ac:dyDescent="0.3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</row>
    <row r="810" spans="1:31" ht="14.4" x14ac:dyDescent="0.3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</row>
    <row r="811" spans="1:31" ht="14.4" x14ac:dyDescent="0.3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</row>
    <row r="812" spans="1:31" ht="14.4" x14ac:dyDescent="0.3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</row>
    <row r="813" spans="1:31" ht="14.4" x14ac:dyDescent="0.3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</row>
    <row r="814" spans="1:31" ht="14.4" x14ac:dyDescent="0.3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</row>
    <row r="815" spans="1:31" ht="14.4" x14ac:dyDescent="0.3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</row>
    <row r="816" spans="1:31" ht="14.4" x14ac:dyDescent="0.3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</row>
    <row r="817" spans="1:31" ht="14.4" x14ac:dyDescent="0.3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</row>
    <row r="818" spans="1:31" ht="14.4" x14ac:dyDescent="0.3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</row>
    <row r="819" spans="1:31" ht="14.4" x14ac:dyDescent="0.3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</row>
    <row r="820" spans="1:31" ht="14.4" x14ac:dyDescent="0.3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</row>
    <row r="821" spans="1:31" ht="14.4" x14ac:dyDescent="0.3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</row>
    <row r="822" spans="1:31" ht="14.4" x14ac:dyDescent="0.3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</row>
    <row r="823" spans="1:31" ht="14.4" x14ac:dyDescent="0.3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</row>
    <row r="824" spans="1:31" ht="14.4" x14ac:dyDescent="0.3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</row>
    <row r="825" spans="1:31" ht="14.4" x14ac:dyDescent="0.3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</row>
    <row r="826" spans="1:31" ht="14.4" x14ac:dyDescent="0.3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</row>
    <row r="827" spans="1:31" ht="14.4" x14ac:dyDescent="0.3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</row>
    <row r="828" spans="1:31" ht="14.4" x14ac:dyDescent="0.3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</row>
    <row r="829" spans="1:31" ht="14.4" x14ac:dyDescent="0.3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</row>
    <row r="830" spans="1:31" ht="14.4" x14ac:dyDescent="0.3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</row>
    <row r="831" spans="1:31" ht="14.4" x14ac:dyDescent="0.3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</row>
    <row r="832" spans="1:31" ht="14.4" x14ac:dyDescent="0.3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</row>
    <row r="833" spans="1:31" ht="14.4" x14ac:dyDescent="0.3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</row>
    <row r="834" spans="1:31" ht="14.4" x14ac:dyDescent="0.3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</row>
    <row r="835" spans="1:31" ht="14.4" x14ac:dyDescent="0.3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</row>
    <row r="836" spans="1:31" ht="14.4" x14ac:dyDescent="0.3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</row>
    <row r="837" spans="1:31" ht="14.4" x14ac:dyDescent="0.3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</row>
    <row r="838" spans="1:31" ht="14.4" x14ac:dyDescent="0.3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</row>
    <row r="839" spans="1:31" ht="14.4" x14ac:dyDescent="0.3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</row>
    <row r="840" spans="1:31" ht="14.4" x14ac:dyDescent="0.3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</row>
    <row r="841" spans="1:31" ht="14.4" x14ac:dyDescent="0.3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</row>
    <row r="842" spans="1:31" ht="14.4" x14ac:dyDescent="0.3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</row>
    <row r="843" spans="1:31" ht="14.4" x14ac:dyDescent="0.3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</row>
    <row r="844" spans="1:31" ht="14.4" x14ac:dyDescent="0.3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</row>
    <row r="845" spans="1:31" ht="14.4" x14ac:dyDescent="0.3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</row>
    <row r="846" spans="1:31" ht="14.4" x14ac:dyDescent="0.3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</row>
    <row r="847" spans="1:31" ht="14.4" x14ac:dyDescent="0.3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</row>
    <row r="848" spans="1:31" ht="14.4" x14ac:dyDescent="0.3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</row>
    <row r="849" spans="1:31" ht="14.4" x14ac:dyDescent="0.3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</row>
    <row r="850" spans="1:31" ht="14.4" x14ac:dyDescent="0.3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</row>
    <row r="851" spans="1:31" ht="14.4" x14ac:dyDescent="0.3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</row>
    <row r="852" spans="1:31" ht="14.4" x14ac:dyDescent="0.3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</row>
    <row r="853" spans="1:31" ht="14.4" x14ac:dyDescent="0.3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</row>
    <row r="854" spans="1:31" ht="14.4" x14ac:dyDescent="0.3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</row>
    <row r="855" spans="1:31" ht="14.4" x14ac:dyDescent="0.3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</row>
    <row r="856" spans="1:31" ht="14.4" x14ac:dyDescent="0.3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</row>
    <row r="857" spans="1:31" ht="14.4" x14ac:dyDescent="0.3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</row>
    <row r="858" spans="1:31" ht="14.4" x14ac:dyDescent="0.3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</row>
    <row r="859" spans="1:31" ht="14.4" x14ac:dyDescent="0.3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</row>
    <row r="860" spans="1:31" ht="14.4" x14ac:dyDescent="0.3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</row>
    <row r="861" spans="1:31" ht="14.4" x14ac:dyDescent="0.3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</row>
    <row r="862" spans="1:31" ht="14.4" x14ac:dyDescent="0.3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</row>
    <row r="863" spans="1:31" ht="14.4" x14ac:dyDescent="0.3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</row>
    <row r="864" spans="1:31" ht="14.4" x14ac:dyDescent="0.3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</row>
    <row r="865" spans="1:31" ht="14.4" x14ac:dyDescent="0.3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</row>
    <row r="866" spans="1:31" ht="14.4" x14ac:dyDescent="0.3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</row>
    <row r="867" spans="1:31" ht="14.4" x14ac:dyDescent="0.3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</row>
    <row r="868" spans="1:31" ht="14.4" x14ac:dyDescent="0.3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</row>
    <row r="869" spans="1:31" ht="14.4" x14ac:dyDescent="0.3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</row>
    <row r="870" spans="1:31" ht="14.4" x14ac:dyDescent="0.3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</row>
    <row r="871" spans="1:31" ht="14.4" x14ac:dyDescent="0.3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</row>
    <row r="872" spans="1:31" ht="14.4" x14ac:dyDescent="0.3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</row>
  </sheetData>
  <mergeCells count="11">
    <mergeCell ref="J16:K16"/>
    <mergeCell ref="J17:K17"/>
    <mergeCell ref="A7:K7"/>
    <mergeCell ref="J8:K8"/>
    <mergeCell ref="J9:K9"/>
    <mergeCell ref="J10:K10"/>
    <mergeCell ref="J11:K11"/>
    <mergeCell ref="J12:K12"/>
    <mergeCell ref="J13:K13"/>
    <mergeCell ref="J14:K14"/>
    <mergeCell ref="J15:K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581F-89C0-4DDB-8061-DC79FAF6DC87}">
  <dimension ref="A3:AK105"/>
  <sheetViews>
    <sheetView workbookViewId="0">
      <selection activeCell="C4" sqref="C4"/>
    </sheetView>
  </sheetViews>
  <sheetFormatPr defaultRowHeight="15.6" x14ac:dyDescent="0.3"/>
  <cols>
    <col min="1" max="1" width="26.69921875" customWidth="1"/>
    <col min="2" max="2" width="21.59765625" bestFit="1" customWidth="1"/>
    <col min="3" max="3" width="8.59765625" customWidth="1"/>
    <col min="4" max="4" width="25.8984375" customWidth="1"/>
    <col min="5" max="5" width="17.69921875" customWidth="1"/>
    <col min="6" max="6" width="14" bestFit="1" customWidth="1"/>
    <col min="7" max="8" width="14.3984375" bestFit="1" customWidth="1"/>
    <col min="9" max="9" width="13.5" bestFit="1" customWidth="1"/>
    <col min="10" max="10" width="16.59765625" customWidth="1"/>
    <col min="29" max="29" width="16.19921875" bestFit="1" customWidth="1"/>
    <col min="30" max="30" width="13.19921875" bestFit="1" customWidth="1"/>
    <col min="35" max="35" width="10.09765625" bestFit="1" customWidth="1"/>
    <col min="36" max="36" width="9.09765625" bestFit="1" customWidth="1"/>
    <col min="37" max="37" width="14.3984375" bestFit="1" customWidth="1"/>
    <col min="38" max="38" width="16" bestFit="1" customWidth="1"/>
    <col min="39" max="39" width="12.8984375" bestFit="1" customWidth="1"/>
  </cols>
  <sheetData>
    <row r="3" spans="1:37" x14ac:dyDescent="0.3">
      <c r="A3" s="155" t="s">
        <v>278</v>
      </c>
      <c r="B3" t="s">
        <v>279</v>
      </c>
    </row>
    <row r="4" spans="1:37" x14ac:dyDescent="0.3">
      <c r="A4" s="151" t="s">
        <v>280</v>
      </c>
      <c r="B4">
        <v>480</v>
      </c>
    </row>
    <row r="5" spans="1:37" x14ac:dyDescent="0.3">
      <c r="A5" s="151" t="s">
        <v>281</v>
      </c>
      <c r="B5">
        <v>695</v>
      </c>
    </row>
    <row r="6" spans="1:37" x14ac:dyDescent="0.3">
      <c r="A6" s="151" t="s">
        <v>282</v>
      </c>
      <c r="B6">
        <v>387</v>
      </c>
    </row>
    <row r="7" spans="1:37" x14ac:dyDescent="0.3">
      <c r="A7" s="151" t="s">
        <v>284</v>
      </c>
      <c r="B7">
        <v>557</v>
      </c>
    </row>
    <row r="8" spans="1:37" x14ac:dyDescent="0.3">
      <c r="A8" s="151" t="s">
        <v>285</v>
      </c>
      <c r="B8">
        <v>37</v>
      </c>
    </row>
    <row r="9" spans="1:37" x14ac:dyDescent="0.3">
      <c r="A9" s="151" t="s">
        <v>286</v>
      </c>
      <c r="B9">
        <v>186</v>
      </c>
    </row>
    <row r="10" spans="1:37" x14ac:dyDescent="0.3">
      <c r="A10" s="151" t="s">
        <v>287</v>
      </c>
      <c r="B10">
        <v>2342</v>
      </c>
    </row>
    <row r="14" spans="1:37" x14ac:dyDescent="0.3">
      <c r="A14" t="s">
        <v>313</v>
      </c>
    </row>
    <row r="16" spans="1:37" x14ac:dyDescent="0.3">
      <c r="AK16" s="81"/>
    </row>
    <row r="25" spans="1:37" x14ac:dyDescent="0.3"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  <c r="N25" t="s">
        <v>300</v>
      </c>
      <c r="O25" t="s">
        <v>301</v>
      </c>
      <c r="P25" t="s">
        <v>304</v>
      </c>
      <c r="Q25" t="s">
        <v>303</v>
      </c>
    </row>
    <row r="26" spans="1:37" ht="16.2" thickBot="1" x14ac:dyDescent="0.35">
      <c r="H26">
        <v>1000</v>
      </c>
      <c r="I26">
        <f t="shared" ref="I26:O26" si="0">H26+100</f>
        <v>1100</v>
      </c>
      <c r="J26">
        <f t="shared" si="0"/>
        <v>1200</v>
      </c>
      <c r="K26">
        <f t="shared" si="0"/>
        <v>1300</v>
      </c>
      <c r="L26">
        <f t="shared" si="0"/>
        <v>1400</v>
      </c>
      <c r="M26">
        <f t="shared" si="0"/>
        <v>1500</v>
      </c>
      <c r="N26">
        <f t="shared" si="0"/>
        <v>1600</v>
      </c>
      <c r="O26">
        <f t="shared" si="0"/>
        <v>1700</v>
      </c>
      <c r="R26" t="s">
        <v>302</v>
      </c>
      <c r="S26" t="s">
        <v>305</v>
      </c>
      <c r="T26" t="s">
        <v>300</v>
      </c>
      <c r="AG26" s="159"/>
      <c r="AI26" s="21"/>
      <c r="AJ26" s="26"/>
      <c r="AK26" s="160"/>
    </row>
    <row r="27" spans="1:37" x14ac:dyDescent="0.3">
      <c r="A27" t="str">
        <f>A4</f>
        <v>24P121091 HANGAR 25 DIET COLA CASE</v>
      </c>
      <c r="B27">
        <f>B4</f>
        <v>480</v>
      </c>
      <c r="D27" s="152">
        <f t="shared" ref="D27:D32" si="1">B27/$B$33</f>
        <v>0.19269369731031713</v>
      </c>
      <c r="F27" t="s">
        <v>214</v>
      </c>
      <c r="G27" s="152">
        <f>D28</f>
        <v>0.27900441589723002</v>
      </c>
      <c r="H27" s="21">
        <f t="shared" ref="H27:O32" si="2">H$26*$G27</f>
        <v>279.00441589723005</v>
      </c>
      <c r="I27" s="21">
        <f t="shared" si="2"/>
        <v>306.90485748695301</v>
      </c>
      <c r="J27" s="21">
        <f t="shared" si="2"/>
        <v>334.80529907667602</v>
      </c>
      <c r="K27" s="21">
        <f t="shared" si="2"/>
        <v>362.70574066639904</v>
      </c>
      <c r="L27" s="21">
        <f t="shared" si="2"/>
        <v>390.606182256122</v>
      </c>
      <c r="M27" s="21">
        <f t="shared" si="2"/>
        <v>418.50662384584501</v>
      </c>
      <c r="N27" s="21">
        <f t="shared" si="2"/>
        <v>446.40706543556803</v>
      </c>
      <c r="O27" s="21">
        <f t="shared" si="2"/>
        <v>474.30750702529105</v>
      </c>
      <c r="P27" s="21">
        <f>SUM(H27:N27)</f>
        <v>2538.9401846647925</v>
      </c>
      <c r="Q27" s="21">
        <f>SUM(H27:O27)</f>
        <v>3013.2476916900837</v>
      </c>
      <c r="R27" s="21">
        <f>'DELETE Quantum Run 03-25-2025 '!$A$79</f>
        <v>1111.1111111111111</v>
      </c>
      <c r="S27" s="153">
        <f>Q27/R27</f>
        <v>2.7119229225210755</v>
      </c>
      <c r="T27" s="153">
        <f t="shared" ref="T27:T32" si="3">P27/$R$27</f>
        <v>2.2850461661983132</v>
      </c>
      <c r="AH27" s="374" t="s">
        <v>306</v>
      </c>
      <c r="AI27" s="375"/>
      <c r="AJ27" t="s">
        <v>309</v>
      </c>
    </row>
    <row r="28" spans="1:37" ht="16.2" thickBot="1" x14ac:dyDescent="0.35">
      <c r="A28" t="str">
        <f t="shared" ref="A28:A32" si="4">A5</f>
        <v>24P126121 HANGAR 25 COLA CASE</v>
      </c>
      <c r="B28">
        <f>B5</f>
        <v>695</v>
      </c>
      <c r="D28" s="152">
        <f t="shared" si="1"/>
        <v>0.27900441589723002</v>
      </c>
      <c r="E28" s="152"/>
      <c r="F28" t="s">
        <v>224</v>
      </c>
      <c r="G28" s="152">
        <f>D30</f>
        <v>0.22360497792051384</v>
      </c>
      <c r="H28" s="21">
        <f t="shared" si="2"/>
        <v>223.60497792051385</v>
      </c>
      <c r="I28" s="21">
        <f t="shared" si="2"/>
        <v>245.96547571256522</v>
      </c>
      <c r="J28" s="21">
        <f t="shared" si="2"/>
        <v>268.32597350461663</v>
      </c>
      <c r="K28" s="21">
        <f t="shared" si="2"/>
        <v>290.686471296668</v>
      </c>
      <c r="L28" s="21">
        <f t="shared" si="2"/>
        <v>313.04696908871938</v>
      </c>
      <c r="M28" s="21">
        <f t="shared" si="2"/>
        <v>335.40746688077076</v>
      </c>
      <c r="N28" s="21">
        <f t="shared" si="2"/>
        <v>357.76796467282213</v>
      </c>
      <c r="O28" s="21">
        <f t="shared" si="2"/>
        <v>380.12846246487351</v>
      </c>
      <c r="P28" s="21">
        <f t="shared" ref="P28:P32" si="5">SUM(H28:N28)</f>
        <v>2034.805299076676</v>
      </c>
      <c r="Q28" s="21">
        <f t="shared" ref="Q28:Q32" si="6">SUM(H28:O28)</f>
        <v>2414.9337615415493</v>
      </c>
      <c r="R28" s="21">
        <f>'DELETE Quantum Run 03-25-2025 '!$A$79</f>
        <v>1111.1111111111111</v>
      </c>
      <c r="S28" s="153">
        <f t="shared" ref="S28:S32" si="7">Q28/R28</f>
        <v>2.1734403853873943</v>
      </c>
      <c r="T28" s="153">
        <f t="shared" si="3"/>
        <v>1.8313247691690084</v>
      </c>
      <c r="AH28" s="162" t="s">
        <v>307</v>
      </c>
      <c r="AI28" s="163" t="s">
        <v>308</v>
      </c>
      <c r="AJ28" s="147" t="s">
        <v>243</v>
      </c>
      <c r="AK28" s="147" t="s">
        <v>222</v>
      </c>
    </row>
    <row r="29" spans="1:37" x14ac:dyDescent="0.3">
      <c r="A29" t="str">
        <f t="shared" si="4"/>
        <v>24P126141 CABLE CAR LEMON LIME CASE</v>
      </c>
      <c r="B29">
        <f>B6</f>
        <v>387</v>
      </c>
      <c r="D29" s="152">
        <f t="shared" si="1"/>
        <v>0.1553592934564432</v>
      </c>
      <c r="E29" s="152"/>
      <c r="F29" t="s">
        <v>283</v>
      </c>
      <c r="G29" s="152">
        <f>D27</f>
        <v>0.19269369731031713</v>
      </c>
      <c r="H29" s="21">
        <f t="shared" si="2"/>
        <v>192.69369731031713</v>
      </c>
      <c r="I29" s="21">
        <f t="shared" si="2"/>
        <v>211.96306704134884</v>
      </c>
      <c r="J29" s="21">
        <f t="shared" si="2"/>
        <v>231.23243677238057</v>
      </c>
      <c r="K29" s="21">
        <f t="shared" si="2"/>
        <v>250.50180650341227</v>
      </c>
      <c r="L29" s="21">
        <f t="shared" si="2"/>
        <v>269.771176234444</v>
      </c>
      <c r="M29" s="21">
        <f t="shared" si="2"/>
        <v>289.0405459654757</v>
      </c>
      <c r="N29" s="21">
        <f t="shared" si="2"/>
        <v>308.3099156965074</v>
      </c>
      <c r="O29" s="21">
        <f t="shared" si="2"/>
        <v>327.57928542753911</v>
      </c>
      <c r="P29" s="21">
        <f t="shared" si="5"/>
        <v>1753.512645523886</v>
      </c>
      <c r="Q29" s="21">
        <f t="shared" si="6"/>
        <v>2081.0919309514252</v>
      </c>
      <c r="R29" s="21">
        <f>'DELETE Quantum Run 03-25-2025 '!$A$79</f>
        <v>1111.1111111111111</v>
      </c>
      <c r="S29" s="153">
        <f>Q29/R29</f>
        <v>1.8729827378562827</v>
      </c>
      <c r="T29" s="153">
        <f t="shared" si="3"/>
        <v>1.5781613809714974</v>
      </c>
      <c r="AG29" s="68" t="s">
        <v>214</v>
      </c>
      <c r="AH29" s="153">
        <v>2.4304227156276688</v>
      </c>
      <c r="AI29" s="21"/>
      <c r="AJ29" s="160">
        <f>AH29*26666</f>
        <v>64809.652134927412</v>
      </c>
      <c r="AK29" s="160">
        <f>AJ29/24</f>
        <v>2700.4021722886423</v>
      </c>
    </row>
    <row r="30" spans="1:37" x14ac:dyDescent="0.3">
      <c r="A30" t="str">
        <f t="shared" si="4"/>
        <v>24P126151 OAKTOWN ROOTBEER CASE</v>
      </c>
      <c r="B30">
        <f>B7</f>
        <v>557</v>
      </c>
      <c r="D30" s="152">
        <f t="shared" si="1"/>
        <v>0.22360497792051384</v>
      </c>
      <c r="E30" s="152"/>
      <c r="F30" t="s">
        <v>223</v>
      </c>
      <c r="G30" s="152">
        <f>D29</f>
        <v>0.1553592934564432</v>
      </c>
      <c r="H30" s="21">
        <f t="shared" si="2"/>
        <v>155.3592934564432</v>
      </c>
      <c r="I30" s="21">
        <f t="shared" si="2"/>
        <v>170.89522280208752</v>
      </c>
      <c r="J30" s="21">
        <f t="shared" si="2"/>
        <v>186.43115214773184</v>
      </c>
      <c r="K30" s="21">
        <f t="shared" si="2"/>
        <v>201.96708149337616</v>
      </c>
      <c r="L30" s="21">
        <f t="shared" si="2"/>
        <v>217.50301083902048</v>
      </c>
      <c r="M30" s="21">
        <f t="shared" si="2"/>
        <v>233.0389401846648</v>
      </c>
      <c r="N30" s="21">
        <f t="shared" si="2"/>
        <v>248.57486953030912</v>
      </c>
      <c r="O30" s="21">
        <f t="shared" si="2"/>
        <v>264.11079887595344</v>
      </c>
      <c r="P30" s="21">
        <f t="shared" si="5"/>
        <v>1413.7695704536329</v>
      </c>
      <c r="Q30" s="21">
        <f t="shared" si="6"/>
        <v>1677.8803693295863</v>
      </c>
      <c r="R30" s="21">
        <f>'DELETE Quantum Run 03-25-2025 '!$A$79</f>
        <v>1111.1111111111111</v>
      </c>
      <c r="S30" s="153">
        <f t="shared" si="7"/>
        <v>1.5100923323966278</v>
      </c>
      <c r="T30" s="153">
        <f t="shared" si="3"/>
        <v>1.2723926134082697</v>
      </c>
      <c r="AG30" s="68" t="s">
        <v>224</v>
      </c>
      <c r="AH30" s="156">
        <v>1.9478351836037573</v>
      </c>
      <c r="AI30" s="54"/>
      <c r="AJ30" s="160">
        <f t="shared" ref="AI30:AJ34" si="8">AH30*26666</f>
        <v>51940.973005977794</v>
      </c>
      <c r="AK30" s="160">
        <f t="shared" ref="AJ30:AK35" si="9">AJ30/24</f>
        <v>2164.2072085824079</v>
      </c>
    </row>
    <row r="31" spans="1:37" x14ac:dyDescent="0.3">
      <c r="A31" t="str">
        <f t="shared" si="4"/>
        <v>24P126471 LOST ISLAND GINGER BEER CASE</v>
      </c>
      <c r="B31" s="81">
        <f>B9</f>
        <v>186</v>
      </c>
      <c r="C31" s="81"/>
      <c r="D31" s="169">
        <f t="shared" si="1"/>
        <v>7.4668807707747892E-2</v>
      </c>
      <c r="E31" s="152"/>
      <c r="F31" t="s">
        <v>145</v>
      </c>
      <c r="G31" s="152">
        <f>D32</f>
        <v>7.4668807707747892E-2</v>
      </c>
      <c r="H31" s="21">
        <f t="shared" si="2"/>
        <v>74.668807707747888</v>
      </c>
      <c r="I31" s="21">
        <f t="shared" si="2"/>
        <v>82.135688478522681</v>
      </c>
      <c r="J31" s="21">
        <f t="shared" si="2"/>
        <v>89.602569249297474</v>
      </c>
      <c r="K31" s="21">
        <f t="shared" si="2"/>
        <v>97.069450020072253</v>
      </c>
      <c r="L31" s="21">
        <f t="shared" si="2"/>
        <v>104.53633079084705</v>
      </c>
      <c r="M31" s="21">
        <f t="shared" si="2"/>
        <v>112.00321156162184</v>
      </c>
      <c r="N31" s="21">
        <f t="shared" si="2"/>
        <v>119.47009233239663</v>
      </c>
      <c r="O31" s="21">
        <f t="shared" si="2"/>
        <v>126.93697310317141</v>
      </c>
      <c r="P31" s="21">
        <f t="shared" si="5"/>
        <v>679.48615014050574</v>
      </c>
      <c r="Q31" s="21">
        <f t="shared" si="6"/>
        <v>806.4231232436772</v>
      </c>
      <c r="R31" s="21">
        <f>'DELETE Quantum Run 03-25-2025 '!$A$79</f>
        <v>1111.1111111111111</v>
      </c>
      <c r="S31" s="153">
        <f t="shared" si="7"/>
        <v>0.72578081091930946</v>
      </c>
      <c r="T31" s="153">
        <f t="shared" si="3"/>
        <v>0.61153753512645515</v>
      </c>
      <c r="AG31" s="68" t="s">
        <v>283</v>
      </c>
      <c r="AH31" s="153">
        <v>1.6785653287788214</v>
      </c>
      <c r="AI31" s="21"/>
      <c r="AJ31" s="160">
        <f t="shared" si="8"/>
        <v>44760.623057216049</v>
      </c>
      <c r="AK31" s="160">
        <f t="shared" si="9"/>
        <v>1865.0259607173355</v>
      </c>
    </row>
    <row r="32" spans="1:37" x14ac:dyDescent="0.3">
      <c r="A32" t="str">
        <f t="shared" si="4"/>
        <v>24P126481 GOLDEN GATE ORANGE CASE</v>
      </c>
      <c r="B32">
        <f>B9</f>
        <v>186</v>
      </c>
      <c r="D32" s="152">
        <f t="shared" si="1"/>
        <v>7.4668807707747892E-2</v>
      </c>
      <c r="E32" s="152"/>
      <c r="F32" t="s">
        <v>314</v>
      </c>
      <c r="G32" s="152">
        <f>D31</f>
        <v>7.4668807707747892E-2</v>
      </c>
      <c r="H32" s="21">
        <f t="shared" si="2"/>
        <v>74.668807707747888</v>
      </c>
      <c r="I32" s="21">
        <f t="shared" si="2"/>
        <v>82.135688478522681</v>
      </c>
      <c r="J32" s="21">
        <f t="shared" si="2"/>
        <v>89.602569249297474</v>
      </c>
      <c r="K32" s="21">
        <f t="shared" si="2"/>
        <v>97.069450020072253</v>
      </c>
      <c r="L32" s="21">
        <f t="shared" si="2"/>
        <v>104.53633079084705</v>
      </c>
      <c r="M32" s="21">
        <f t="shared" si="2"/>
        <v>112.00321156162184</v>
      </c>
      <c r="N32" s="21">
        <f t="shared" si="2"/>
        <v>119.47009233239663</v>
      </c>
      <c r="O32" s="21">
        <f t="shared" si="2"/>
        <v>126.93697310317141</v>
      </c>
      <c r="P32" s="21">
        <f t="shared" si="5"/>
        <v>679.48615014050574</v>
      </c>
      <c r="Q32" s="21">
        <f t="shared" si="6"/>
        <v>806.4231232436772</v>
      </c>
      <c r="R32" s="21">
        <f>'DELETE Quantum Run 03-25-2025 '!$A$79</f>
        <v>1111.1111111111111</v>
      </c>
      <c r="S32" s="153">
        <f t="shared" si="7"/>
        <v>0.72578081091930946</v>
      </c>
      <c r="T32" s="153">
        <f t="shared" si="3"/>
        <v>0.61153753512645515</v>
      </c>
      <c r="AG32" s="68" t="s">
        <v>223</v>
      </c>
      <c r="AH32" s="153">
        <v>1.353343296327925</v>
      </c>
      <c r="AI32" s="21"/>
      <c r="AJ32" s="160">
        <f t="shared" si="8"/>
        <v>36088.252339880448</v>
      </c>
      <c r="AK32" s="160">
        <f t="shared" si="9"/>
        <v>1503.677180828352</v>
      </c>
    </row>
    <row r="33" spans="1:37" x14ac:dyDescent="0.3">
      <c r="B33">
        <f>SUM(B27:B32)</f>
        <v>2491</v>
      </c>
      <c r="E33" s="152"/>
      <c r="G33" s="8"/>
      <c r="H33" s="21"/>
      <c r="I33" s="21"/>
      <c r="J33" s="21"/>
      <c r="K33" s="21"/>
      <c r="L33" s="21"/>
      <c r="M33" s="21"/>
      <c r="N33" s="21"/>
      <c r="O33" s="21"/>
      <c r="P33" s="21"/>
      <c r="Q33" s="21">
        <f>SUM(Q27:Q32)</f>
        <v>10800</v>
      </c>
      <c r="S33" s="153">
        <f>SUM(S27:S32)</f>
        <v>9.7199999999999989</v>
      </c>
      <c r="T33" s="153">
        <f>SUM(T27:T32)</f>
        <v>8.19</v>
      </c>
      <c r="AG33" s="68" t="s">
        <v>145</v>
      </c>
      <c r="AH33" s="153">
        <v>0.6504440649017933</v>
      </c>
      <c r="AI33" s="21"/>
      <c r="AJ33" s="160">
        <f t="shared" si="8"/>
        <v>17344.741434671221</v>
      </c>
      <c r="AK33" s="160">
        <f t="shared" si="9"/>
        <v>722.69755977796751</v>
      </c>
    </row>
    <row r="34" spans="1:37" x14ac:dyDescent="0.3">
      <c r="F34" t="s">
        <v>315</v>
      </c>
      <c r="AF34" s="68" t="s">
        <v>296</v>
      </c>
      <c r="AG34" s="157">
        <v>0.6504440649017933</v>
      </c>
      <c r="AH34" s="158"/>
      <c r="AI34" s="160">
        <f t="shared" si="8"/>
        <v>17344.741434671221</v>
      </c>
      <c r="AJ34" s="160">
        <f t="shared" si="9"/>
        <v>722.69755977796751</v>
      </c>
    </row>
    <row r="35" spans="1:37" x14ac:dyDescent="0.3">
      <c r="AF35" s="159" t="s">
        <v>150</v>
      </c>
      <c r="AG35" s="153">
        <f>SUM(AG29:AG34)</f>
        <v>0.6504440649017933</v>
      </c>
      <c r="AH35" s="164"/>
      <c r="AI35" s="165">
        <f>SUM(AI29:AI34)</f>
        <v>17344.741434671221</v>
      </c>
      <c r="AJ35" s="166">
        <f t="shared" si="9"/>
        <v>722.69755977796751</v>
      </c>
    </row>
    <row r="36" spans="1:37" x14ac:dyDescent="0.3">
      <c r="A36" s="168" t="s">
        <v>316</v>
      </c>
      <c r="B36" s="171">
        <v>200000</v>
      </c>
      <c r="C36" s="171"/>
      <c r="D36" t="s">
        <v>334</v>
      </c>
      <c r="E36" s="40" t="s">
        <v>335</v>
      </c>
    </row>
    <row r="37" spans="1:37" x14ac:dyDescent="0.3">
      <c r="A37" s="159" t="s">
        <v>320</v>
      </c>
      <c r="B37" s="182">
        <v>1000</v>
      </c>
      <c r="C37" s="192"/>
    </row>
    <row r="38" spans="1:37" x14ac:dyDescent="0.3">
      <c r="A38" s="159" t="s">
        <v>321</v>
      </c>
      <c r="B38" s="166">
        <f>(B37*128)/12</f>
        <v>10666.666666666666</v>
      </c>
      <c r="C38" s="166"/>
    </row>
    <row r="39" spans="1:37" x14ac:dyDescent="0.3">
      <c r="A39" s="159"/>
      <c r="B39" s="166"/>
      <c r="C39" s="166"/>
    </row>
    <row r="40" spans="1:37" x14ac:dyDescent="0.3">
      <c r="D40" s="382"/>
      <c r="E40" s="382"/>
      <c r="H40" s="81"/>
    </row>
    <row r="41" spans="1:37" x14ac:dyDescent="0.3">
      <c r="B41" s="147" t="s">
        <v>333</v>
      </c>
      <c r="C41" s="147" t="s">
        <v>336</v>
      </c>
      <c r="D41" s="147" t="s">
        <v>319</v>
      </c>
      <c r="E41" s="184" t="s">
        <v>332</v>
      </c>
      <c r="F41" s="147" t="s">
        <v>243</v>
      </c>
      <c r="G41" s="147" t="s">
        <v>222</v>
      </c>
      <c r="H41" s="147" t="s">
        <v>310</v>
      </c>
      <c r="I41" s="147" t="s">
        <v>312</v>
      </c>
      <c r="J41" s="147" t="s">
        <v>311</v>
      </c>
    </row>
    <row r="42" spans="1:37" x14ac:dyDescent="0.3">
      <c r="A42" s="168" t="s">
        <v>214</v>
      </c>
      <c r="B42" s="175">
        <f>$B$36*D28</f>
        <v>55800.883179446006</v>
      </c>
      <c r="C42" s="195">
        <f>B42/$B$48</f>
        <v>0.27229487772196931</v>
      </c>
      <c r="D42" s="172">
        <f t="shared" ref="D42:D47" si="10">B42/$B$38</f>
        <v>5.2313327980730637</v>
      </c>
      <c r="E42" s="153">
        <f>D42</f>
        <v>5.2313327980730637</v>
      </c>
      <c r="F42" s="160">
        <f>E42*$B$38</f>
        <v>55800.883179446013</v>
      </c>
      <c r="G42" s="160">
        <f>F42/24</f>
        <v>2325.0367991435837</v>
      </c>
      <c r="H42" s="26">
        <f>F42*12</f>
        <v>669610.59815335216</v>
      </c>
      <c r="I42" s="26">
        <f>H42/6</f>
        <v>111601.76635889203</v>
      </c>
      <c r="J42" s="26">
        <f>I42/128</f>
        <v>871.88879967884395</v>
      </c>
    </row>
    <row r="43" spans="1:37" x14ac:dyDescent="0.3">
      <c r="A43" s="168" t="s">
        <v>224</v>
      </c>
      <c r="B43" s="175">
        <f>$B$36*D30</f>
        <v>44720.995584102769</v>
      </c>
      <c r="C43" s="195">
        <f t="shared" ref="C43:C47" si="11">B43/$B$48</f>
        <v>0.21822769336854231</v>
      </c>
      <c r="D43" s="172">
        <f t="shared" si="10"/>
        <v>4.1925933360096348</v>
      </c>
      <c r="E43" s="153">
        <f t="shared" ref="E43:E46" si="12">D43</f>
        <v>4.1925933360096348</v>
      </c>
      <c r="F43" s="160">
        <f t="shared" ref="F43:F47" si="13">E43*$B$38</f>
        <v>44720.995584102769</v>
      </c>
      <c r="G43" s="160">
        <f t="shared" ref="G43:G47" si="14">F43/24</f>
        <v>1863.3748160042821</v>
      </c>
      <c r="H43" s="26">
        <f t="shared" ref="H43:H47" si="15">F43*12</f>
        <v>536651.94700923329</v>
      </c>
      <c r="I43" s="26">
        <f t="shared" ref="I43:I47" si="16">H43/6</f>
        <v>89441.991168205554</v>
      </c>
      <c r="J43" s="26">
        <f t="shared" ref="J43:J47" si="17">I43/128</f>
        <v>698.76555600160589</v>
      </c>
    </row>
    <row r="44" spans="1:37" x14ac:dyDescent="0.3">
      <c r="A44" s="168" t="s">
        <v>283</v>
      </c>
      <c r="B44" s="175">
        <f>$B$36*D27</f>
        <v>38538.73946206343</v>
      </c>
      <c r="C44" s="195">
        <f t="shared" si="11"/>
        <v>0.18805977166409393</v>
      </c>
      <c r="D44" s="172">
        <f t="shared" si="10"/>
        <v>3.6130068245684468</v>
      </c>
      <c r="E44" s="153">
        <f t="shared" si="12"/>
        <v>3.6130068245684468</v>
      </c>
      <c r="F44" s="160">
        <f t="shared" si="13"/>
        <v>38538.73946206343</v>
      </c>
      <c r="G44" s="160">
        <f t="shared" si="14"/>
        <v>1605.7808109193095</v>
      </c>
      <c r="H44" s="26">
        <f t="shared" si="15"/>
        <v>462464.87354476115</v>
      </c>
      <c r="I44" s="26">
        <f t="shared" si="16"/>
        <v>77077.478924126859</v>
      </c>
      <c r="J44" s="26">
        <f t="shared" si="17"/>
        <v>602.16780409474109</v>
      </c>
    </row>
    <row r="45" spans="1:37" x14ac:dyDescent="0.3">
      <c r="A45" s="168" t="s">
        <v>223</v>
      </c>
      <c r="B45" s="175">
        <f>$B$36*D29</f>
        <v>31071.858691288639</v>
      </c>
      <c r="C45" s="195">
        <f t="shared" si="11"/>
        <v>0.15162319090417573</v>
      </c>
      <c r="D45" s="172">
        <f t="shared" si="10"/>
        <v>2.9129867523083099</v>
      </c>
      <c r="E45" s="153">
        <f t="shared" si="12"/>
        <v>2.9129867523083099</v>
      </c>
      <c r="F45" s="160">
        <f t="shared" si="13"/>
        <v>31071.858691288639</v>
      </c>
      <c r="G45" s="160">
        <f t="shared" si="14"/>
        <v>1294.6607788036933</v>
      </c>
      <c r="H45" s="26">
        <f t="shared" si="15"/>
        <v>372862.30429546366</v>
      </c>
      <c r="I45" s="26">
        <f t="shared" si="16"/>
        <v>62143.717382577277</v>
      </c>
      <c r="J45" s="26">
        <f t="shared" si="17"/>
        <v>485.49779205138498</v>
      </c>
    </row>
    <row r="46" spans="1:37" x14ac:dyDescent="0.3">
      <c r="A46" s="168" t="s">
        <v>145</v>
      </c>
      <c r="B46" s="175">
        <f>$B$36*D32</f>
        <v>14933.761541549578</v>
      </c>
      <c r="C46" s="195">
        <f t="shared" si="11"/>
        <v>7.2873161519836388E-2</v>
      </c>
      <c r="D46" s="172">
        <f t="shared" si="10"/>
        <v>1.400040144520273</v>
      </c>
      <c r="E46" s="153">
        <f t="shared" si="12"/>
        <v>1.400040144520273</v>
      </c>
      <c r="F46" s="160">
        <f t="shared" si="13"/>
        <v>14933.761541549578</v>
      </c>
      <c r="G46" s="160">
        <f t="shared" si="14"/>
        <v>622.2400642312324</v>
      </c>
      <c r="H46" s="26">
        <f t="shared" si="15"/>
        <v>179205.13849859493</v>
      </c>
      <c r="I46" s="26">
        <f t="shared" si="16"/>
        <v>29867.523083099153</v>
      </c>
      <c r="J46" s="26">
        <f t="shared" si="17"/>
        <v>233.34002408671213</v>
      </c>
    </row>
    <row r="47" spans="1:37" x14ac:dyDescent="0.3">
      <c r="A47" s="168" t="s">
        <v>296</v>
      </c>
      <c r="B47" s="176">
        <f>B46*1.33</f>
        <v>19861.90285026094</v>
      </c>
      <c r="C47" s="195">
        <f t="shared" si="11"/>
        <v>9.6921304821382406E-2</v>
      </c>
      <c r="D47" s="173">
        <f t="shared" si="10"/>
        <v>1.8620533922119633</v>
      </c>
      <c r="E47" s="157">
        <v>2</v>
      </c>
      <c r="F47" s="160">
        <f t="shared" si="13"/>
        <v>21333.333333333332</v>
      </c>
      <c r="G47" s="161">
        <f t="shared" si="14"/>
        <v>888.8888888888888</v>
      </c>
      <c r="H47" s="167">
        <f t="shared" si="15"/>
        <v>256000</v>
      </c>
      <c r="I47" s="167">
        <f t="shared" si="16"/>
        <v>42666.666666666664</v>
      </c>
      <c r="J47" s="167">
        <f t="shared" si="17"/>
        <v>333.33333333333331</v>
      </c>
    </row>
    <row r="48" spans="1:37" x14ac:dyDescent="0.3">
      <c r="A48" s="159" t="s">
        <v>150</v>
      </c>
      <c r="B48" s="170">
        <f>SUM(B42:B47)</f>
        <v>204928.14130871135</v>
      </c>
      <c r="C48" s="170"/>
      <c r="D48" s="174">
        <f>SUM(D42:D47)</f>
        <v>19.21201324769169</v>
      </c>
      <c r="E48" s="164">
        <f>SUM(E42:E47)</f>
        <v>19.349959855479728</v>
      </c>
      <c r="F48" s="181">
        <f>SUM(F42:F47)</f>
        <v>206399.57179178376</v>
      </c>
      <c r="G48" s="165">
        <f t="shared" ref="G48:J48" si="18">SUM(G42:G47)</f>
        <v>8599.9821579909894</v>
      </c>
      <c r="H48" s="165">
        <f t="shared" si="18"/>
        <v>2476794.8615014055</v>
      </c>
      <c r="I48" s="165">
        <f t="shared" si="18"/>
        <v>412799.14358356752</v>
      </c>
      <c r="J48" s="165">
        <f t="shared" si="18"/>
        <v>3224.9933092466213</v>
      </c>
    </row>
    <row r="50" spans="1:10" x14ac:dyDescent="0.3">
      <c r="E50" s="83" t="s">
        <v>57</v>
      </c>
      <c r="F50" s="178">
        <v>0.8</v>
      </c>
      <c r="G50" s="2">
        <f>F50*24</f>
        <v>19.200000000000003</v>
      </c>
    </row>
    <row r="51" spans="1:10" x14ac:dyDescent="0.3">
      <c r="E51" s="179" t="s">
        <v>318</v>
      </c>
      <c r="F51" s="180">
        <f>F48*F50</f>
        <v>165119.65743342703</v>
      </c>
      <c r="H51" s="199"/>
      <c r="I51" s="29"/>
    </row>
    <row r="53" spans="1:10" x14ac:dyDescent="0.3">
      <c r="D53" s="382"/>
      <c r="E53" s="382"/>
      <c r="H53" s="81"/>
    </row>
    <row r="54" spans="1:10" x14ac:dyDescent="0.3">
      <c r="B54" s="147" t="s">
        <v>322</v>
      </c>
      <c r="C54" s="147"/>
      <c r="D54" s="147" t="s">
        <v>319</v>
      </c>
      <c r="E54" s="184" t="s">
        <v>323</v>
      </c>
      <c r="F54" s="147" t="s">
        <v>243</v>
      </c>
      <c r="G54" s="147" t="s">
        <v>222</v>
      </c>
      <c r="H54" s="147" t="s">
        <v>310</v>
      </c>
      <c r="I54" s="147" t="s">
        <v>312</v>
      </c>
      <c r="J54" s="147" t="s">
        <v>311</v>
      </c>
    </row>
    <row r="55" spans="1:10" x14ac:dyDescent="0.3">
      <c r="A55" s="168" t="s">
        <v>214</v>
      </c>
      <c r="B55" s="175">
        <f>B42</f>
        <v>55800.883179446006</v>
      </c>
      <c r="C55" s="175"/>
      <c r="D55" s="172">
        <f t="shared" ref="D55:D60" si="19">B55/$B$38</f>
        <v>5.2313327980730637</v>
      </c>
      <c r="E55" s="21">
        <v>6</v>
      </c>
      <c r="F55" s="160">
        <f>E55*$B$38</f>
        <v>64000</v>
      </c>
      <c r="G55" s="160">
        <f>F55/24</f>
        <v>2666.6666666666665</v>
      </c>
      <c r="H55" s="26">
        <f>F55*12</f>
        <v>768000</v>
      </c>
      <c r="I55" s="26">
        <f>H55/6</f>
        <v>128000</v>
      </c>
      <c r="J55" s="26">
        <f>I55/128</f>
        <v>1000</v>
      </c>
    </row>
    <row r="56" spans="1:10" x14ac:dyDescent="0.3">
      <c r="A56" s="168" t="s">
        <v>224</v>
      </c>
      <c r="B56" s="175">
        <f t="shared" ref="B56:B60" si="20">B43</f>
        <v>44720.995584102769</v>
      </c>
      <c r="C56" s="175"/>
      <c r="D56" s="172">
        <f t="shared" si="19"/>
        <v>4.1925933360096348</v>
      </c>
      <c r="E56" s="21">
        <v>5</v>
      </c>
      <c r="F56" s="160">
        <f t="shared" ref="F56:F60" si="21">E56*$B$38</f>
        <v>53333.333333333328</v>
      </c>
      <c r="G56" s="160">
        <f t="shared" ref="G56:G60" si="22">F56/24</f>
        <v>2222.2222222222222</v>
      </c>
      <c r="H56" s="26">
        <f t="shared" ref="H56:H60" si="23">F56*12</f>
        <v>640000</v>
      </c>
      <c r="I56" s="26">
        <f t="shared" ref="I56:I60" si="24">H56/6</f>
        <v>106666.66666666667</v>
      </c>
      <c r="J56" s="26">
        <f t="shared" ref="J56:J60" si="25">I56/128</f>
        <v>833.33333333333337</v>
      </c>
    </row>
    <row r="57" spans="1:10" x14ac:dyDescent="0.3">
      <c r="A57" s="168" t="s">
        <v>283</v>
      </c>
      <c r="B57" s="175">
        <f t="shared" si="20"/>
        <v>38538.73946206343</v>
      </c>
      <c r="C57" s="175"/>
      <c r="D57" s="172">
        <f t="shared" si="19"/>
        <v>3.6130068245684468</v>
      </c>
      <c r="E57" s="21">
        <v>4</v>
      </c>
      <c r="F57" s="160">
        <f t="shared" si="21"/>
        <v>42666.666666666664</v>
      </c>
      <c r="G57" s="160">
        <f t="shared" si="22"/>
        <v>1777.7777777777776</v>
      </c>
      <c r="H57" s="26">
        <f t="shared" si="23"/>
        <v>512000</v>
      </c>
      <c r="I57" s="26">
        <f t="shared" si="24"/>
        <v>85333.333333333328</v>
      </c>
      <c r="J57" s="26">
        <f t="shared" si="25"/>
        <v>666.66666666666663</v>
      </c>
    </row>
    <row r="58" spans="1:10" x14ac:dyDescent="0.3">
      <c r="A58" s="168" t="s">
        <v>223</v>
      </c>
      <c r="B58" s="175">
        <f t="shared" si="20"/>
        <v>31071.858691288639</v>
      </c>
      <c r="C58" s="175"/>
      <c r="D58" s="172">
        <f t="shared" si="19"/>
        <v>2.9129867523083099</v>
      </c>
      <c r="E58" s="21">
        <v>3</v>
      </c>
      <c r="F58" s="160">
        <f t="shared" si="21"/>
        <v>32000</v>
      </c>
      <c r="G58" s="160">
        <f t="shared" si="22"/>
        <v>1333.3333333333333</v>
      </c>
      <c r="H58" s="26">
        <f t="shared" si="23"/>
        <v>384000</v>
      </c>
      <c r="I58" s="26">
        <f t="shared" si="24"/>
        <v>64000</v>
      </c>
      <c r="J58" s="26">
        <f t="shared" si="25"/>
        <v>500</v>
      </c>
    </row>
    <row r="59" spans="1:10" x14ac:dyDescent="0.3">
      <c r="A59" s="168" t="s">
        <v>145</v>
      </c>
      <c r="B59" s="175">
        <f t="shared" si="20"/>
        <v>14933.761541549578</v>
      </c>
      <c r="C59" s="175"/>
      <c r="D59" s="172">
        <f t="shared" si="19"/>
        <v>1.400040144520273</v>
      </c>
      <c r="E59" s="21">
        <v>2</v>
      </c>
      <c r="F59" s="160">
        <f t="shared" si="21"/>
        <v>21333.333333333332</v>
      </c>
      <c r="G59" s="160">
        <f t="shared" si="22"/>
        <v>888.8888888888888</v>
      </c>
      <c r="H59" s="26">
        <f t="shared" si="23"/>
        <v>256000</v>
      </c>
      <c r="I59" s="26">
        <f t="shared" si="24"/>
        <v>42666.666666666664</v>
      </c>
      <c r="J59" s="26">
        <f t="shared" si="25"/>
        <v>333.33333333333331</v>
      </c>
    </row>
    <row r="60" spans="1:10" x14ac:dyDescent="0.3">
      <c r="A60" s="168" t="s">
        <v>296</v>
      </c>
      <c r="B60" s="175">
        <f t="shared" si="20"/>
        <v>19861.90285026094</v>
      </c>
      <c r="C60" s="175"/>
      <c r="D60" s="173">
        <f t="shared" si="19"/>
        <v>1.8620533922119633</v>
      </c>
      <c r="E60" s="183">
        <v>3</v>
      </c>
      <c r="F60" s="160">
        <f t="shared" si="21"/>
        <v>32000</v>
      </c>
      <c r="G60" s="161">
        <f t="shared" si="22"/>
        <v>1333.3333333333333</v>
      </c>
      <c r="H60" s="167">
        <f t="shared" si="23"/>
        <v>384000</v>
      </c>
      <c r="I60" s="167">
        <f t="shared" si="24"/>
        <v>64000</v>
      </c>
      <c r="J60" s="167">
        <f t="shared" si="25"/>
        <v>500</v>
      </c>
    </row>
    <row r="61" spans="1:10" x14ac:dyDescent="0.3">
      <c r="A61" s="159" t="s">
        <v>150</v>
      </c>
      <c r="B61" s="170">
        <f>SUM(B55:B60)</f>
        <v>204928.14130871135</v>
      </c>
      <c r="C61" s="170"/>
      <c r="D61" s="174">
        <f>SUM(D55:D60)</f>
        <v>19.21201324769169</v>
      </c>
      <c r="E61" s="164">
        <f>SUM(E55:E60)</f>
        <v>23</v>
      </c>
      <c r="F61" s="181">
        <f>SUM(F55:F60)</f>
        <v>245333.33333333334</v>
      </c>
      <c r="G61" s="165">
        <f t="shared" ref="G61:J61" si="26">SUM(G55:G60)</f>
        <v>10222.222222222223</v>
      </c>
      <c r="H61" s="165">
        <f t="shared" si="26"/>
        <v>2944000</v>
      </c>
      <c r="I61" s="165">
        <f t="shared" si="26"/>
        <v>490666.66666666669</v>
      </c>
      <c r="J61" s="165">
        <f t="shared" si="26"/>
        <v>3833.3333333333335</v>
      </c>
    </row>
    <row r="63" spans="1:10" x14ac:dyDescent="0.3">
      <c r="E63" s="83" t="s">
        <v>57</v>
      </c>
      <c r="F63" s="178">
        <v>0.8</v>
      </c>
    </row>
    <row r="64" spans="1:10" x14ac:dyDescent="0.3">
      <c r="E64" s="179" t="s">
        <v>318</v>
      </c>
      <c r="F64" s="180">
        <f>F61*F63</f>
        <v>196266.66666666669</v>
      </c>
    </row>
    <row r="68" spans="1:9" x14ac:dyDescent="0.3">
      <c r="D68" t="s">
        <v>338</v>
      </c>
      <c r="E68">
        <v>155313</v>
      </c>
      <c r="H68" s="26"/>
      <c r="I68" s="4"/>
    </row>
    <row r="69" spans="1:9" x14ac:dyDescent="0.3">
      <c r="D69" t="s">
        <v>339</v>
      </c>
      <c r="E69">
        <v>31498</v>
      </c>
    </row>
    <row r="70" spans="1:9" x14ac:dyDescent="0.3">
      <c r="D70" t="s">
        <v>341</v>
      </c>
      <c r="E70" s="37">
        <v>3000</v>
      </c>
    </row>
    <row r="71" spans="1:9" x14ac:dyDescent="0.3">
      <c r="D71" t="s">
        <v>150</v>
      </c>
      <c r="E71">
        <f>SUM(E68:E70)</f>
        <v>189811</v>
      </c>
    </row>
    <row r="72" spans="1:9" x14ac:dyDescent="0.3">
      <c r="A72" s="177" t="s">
        <v>317</v>
      </c>
      <c r="D72" s="26">
        <f>F48</f>
        <v>206399.57179178376</v>
      </c>
      <c r="E72" s="26">
        <f>E71/D72</f>
        <v>0.9196288458945141</v>
      </c>
    </row>
    <row r="73" spans="1:9" x14ac:dyDescent="0.3">
      <c r="A73" s="148">
        <v>250000</v>
      </c>
      <c r="B73" s="154" t="s">
        <v>294</v>
      </c>
      <c r="C73" s="154"/>
      <c r="D73" t="s">
        <v>340</v>
      </c>
      <c r="E73" s="4">
        <f>E72*24</f>
        <v>22.07109230146834</v>
      </c>
    </row>
    <row r="74" spans="1:9" x14ac:dyDescent="0.3">
      <c r="A74" s="148">
        <v>2500</v>
      </c>
      <c r="B74" s="148" t="s">
        <v>276</v>
      </c>
      <c r="C74" s="148"/>
      <c r="D74" s="26">
        <v>251988</v>
      </c>
      <c r="E74" s="26">
        <f>E71/D74</f>
        <v>0.75325412321221641</v>
      </c>
    </row>
    <row r="75" spans="1:9" x14ac:dyDescent="0.3">
      <c r="A75" s="148">
        <v>128</v>
      </c>
      <c r="B75" s="148" t="s">
        <v>275</v>
      </c>
      <c r="C75" s="148"/>
      <c r="D75" t="s">
        <v>340</v>
      </c>
      <c r="E75" s="4">
        <f>E74*24</f>
        <v>18.078098957093193</v>
      </c>
    </row>
    <row r="76" spans="1:9" x14ac:dyDescent="0.3">
      <c r="A76" s="148">
        <f>A74*A75</f>
        <v>320000</v>
      </c>
      <c r="B76" s="148" t="s">
        <v>227</v>
      </c>
      <c r="C76" s="148"/>
    </row>
    <row r="77" spans="1:9" x14ac:dyDescent="0.3">
      <c r="A77" s="148">
        <v>12</v>
      </c>
      <c r="B77" s="148" t="s">
        <v>274</v>
      </c>
      <c r="C77" s="148"/>
    </row>
    <row r="78" spans="1:9" x14ac:dyDescent="0.3">
      <c r="A78" s="150">
        <f>A76/A77</f>
        <v>26666.666666666668</v>
      </c>
      <c r="B78" s="148" t="s">
        <v>273</v>
      </c>
      <c r="C78" s="148"/>
    </row>
    <row r="79" spans="1:9" x14ac:dyDescent="0.3">
      <c r="A79" s="149">
        <f>A78/24</f>
        <v>1111.1111111111111</v>
      </c>
      <c r="B79" s="148" t="s">
        <v>272</v>
      </c>
      <c r="C79" s="148"/>
    </row>
    <row r="80" spans="1:9" x14ac:dyDescent="0.3">
      <c r="A80" s="148"/>
      <c r="B80" s="148"/>
      <c r="C80" s="148"/>
    </row>
    <row r="81" spans="1:8" x14ac:dyDescent="0.3">
      <c r="A81" s="148">
        <v>250000</v>
      </c>
      <c r="B81" s="154" t="s">
        <v>294</v>
      </c>
      <c r="C81" s="154"/>
    </row>
    <row r="82" spans="1:8" x14ac:dyDescent="0.3">
      <c r="A82" s="150">
        <f>A78</f>
        <v>26666.666666666668</v>
      </c>
      <c r="B82" s="154" t="s">
        <v>295</v>
      </c>
      <c r="C82" s="154"/>
    </row>
    <row r="83" spans="1:8" x14ac:dyDescent="0.3">
      <c r="A83" s="148">
        <f>A81/A82</f>
        <v>9.375</v>
      </c>
      <c r="B83" s="154" t="s">
        <v>297</v>
      </c>
      <c r="C83" s="154"/>
    </row>
    <row r="84" spans="1:8" x14ac:dyDescent="0.3">
      <c r="A84" s="148">
        <f>A82*A83</f>
        <v>250000</v>
      </c>
      <c r="B84" s="154" t="s">
        <v>298</v>
      </c>
      <c r="C84" s="154"/>
    </row>
    <row r="85" spans="1:8" x14ac:dyDescent="0.3">
      <c r="A85" s="150">
        <f>A84/24</f>
        <v>10416.666666666666</v>
      </c>
      <c r="B85" s="154" t="s">
        <v>299</v>
      </c>
      <c r="C85" s="154"/>
    </row>
    <row r="87" spans="1:8" x14ac:dyDescent="0.3">
      <c r="F87">
        <f>124000+32000</f>
        <v>156000</v>
      </c>
      <c r="G87">
        <f>F87/251988</f>
        <v>0.61907709890947193</v>
      </c>
      <c r="H87">
        <f>G87*24</f>
        <v>14.857850373827326</v>
      </c>
    </row>
    <row r="89" spans="1:8" ht="16.2" thickBot="1" x14ac:dyDescent="0.35"/>
    <row r="90" spans="1:8" x14ac:dyDescent="0.3">
      <c r="A90" s="372">
        <v>45751</v>
      </c>
      <c r="B90" s="373"/>
      <c r="C90" s="69"/>
      <c r="F90">
        <f>250000*0.31</f>
        <v>77500</v>
      </c>
    </row>
    <row r="91" spans="1:8" x14ac:dyDescent="0.3">
      <c r="A91" s="93"/>
      <c r="B91" s="94" t="s">
        <v>330</v>
      </c>
      <c r="C91" s="68"/>
      <c r="D91" t="s">
        <v>41</v>
      </c>
    </row>
    <row r="92" spans="1:8" x14ac:dyDescent="0.3">
      <c r="A92" s="95" t="s">
        <v>324</v>
      </c>
      <c r="B92" s="94"/>
      <c r="C92" s="68"/>
    </row>
    <row r="93" spans="1:8" x14ac:dyDescent="0.3">
      <c r="A93" s="186" t="s">
        <v>68</v>
      </c>
      <c r="B93" s="96"/>
      <c r="C93" s="43"/>
    </row>
    <row r="94" spans="1:8" x14ac:dyDescent="0.3">
      <c r="A94" s="186" t="s">
        <v>139</v>
      </c>
      <c r="B94" s="96"/>
      <c r="C94" s="43"/>
    </row>
    <row r="95" spans="1:8" x14ac:dyDescent="0.3">
      <c r="A95" s="186" t="s">
        <v>71</v>
      </c>
      <c r="B95" s="96"/>
      <c r="C95" s="43"/>
      <c r="E95" t="s">
        <v>325</v>
      </c>
      <c r="F95" s="1">
        <v>1.1599999999999999</v>
      </c>
      <c r="G95" t="s">
        <v>328</v>
      </c>
    </row>
    <row r="96" spans="1:8" x14ac:dyDescent="0.3">
      <c r="A96" s="187" t="s">
        <v>0</v>
      </c>
      <c r="B96" s="185"/>
      <c r="C96" s="2"/>
      <c r="E96" t="s">
        <v>275</v>
      </c>
      <c r="F96">
        <v>128</v>
      </c>
    </row>
    <row r="97" spans="1:11" x14ac:dyDescent="0.3">
      <c r="A97" s="190" t="s">
        <v>329</v>
      </c>
      <c r="B97" s="191">
        <v>0.62</v>
      </c>
      <c r="C97" s="193"/>
      <c r="D97" s="2">
        <f>B97*24</f>
        <v>14.879999999999999</v>
      </c>
      <c r="E97" t="s">
        <v>326</v>
      </c>
      <c r="F97" s="153">
        <f>F96/12</f>
        <v>10.666666666666666</v>
      </c>
      <c r="J97" t="s">
        <v>325</v>
      </c>
      <c r="K97" s="1">
        <v>1.1599999999999999</v>
      </c>
    </row>
    <row r="98" spans="1:11" x14ac:dyDescent="0.3">
      <c r="A98" s="95" t="s">
        <v>331</v>
      </c>
      <c r="B98" s="98">
        <f>F98</f>
        <v>0.10875</v>
      </c>
      <c r="C98" s="64"/>
      <c r="D98" s="2">
        <f t="shared" ref="D98:D100" si="27">B98*24</f>
        <v>2.61</v>
      </c>
      <c r="E98" t="s">
        <v>327</v>
      </c>
      <c r="F98" s="1">
        <f>F95/F97</f>
        <v>0.10875</v>
      </c>
      <c r="J98" t="s">
        <v>275</v>
      </c>
      <c r="K98">
        <v>128</v>
      </c>
    </row>
    <row r="99" spans="1:11" x14ac:dyDescent="0.3">
      <c r="A99" s="95" t="s">
        <v>69</v>
      </c>
      <c r="B99" s="98">
        <v>0.05</v>
      </c>
      <c r="C99" s="64"/>
      <c r="D99" s="2">
        <f t="shared" si="27"/>
        <v>1.2000000000000002</v>
      </c>
      <c r="J99" t="s">
        <v>326</v>
      </c>
      <c r="K99" s="153">
        <f>K98/12</f>
        <v>10.666666666666666</v>
      </c>
    </row>
    <row r="100" spans="1:11" x14ac:dyDescent="0.3">
      <c r="A100" s="95" t="s">
        <v>57</v>
      </c>
      <c r="B100" s="97">
        <f>SUM(B93:B99)</f>
        <v>0.77875000000000005</v>
      </c>
      <c r="C100" s="2"/>
      <c r="D100" s="2">
        <f t="shared" si="27"/>
        <v>18.690000000000001</v>
      </c>
      <c r="J100" t="s">
        <v>327</v>
      </c>
      <c r="K100" s="1">
        <f>K97/K99</f>
        <v>0.10875</v>
      </c>
    </row>
    <row r="101" spans="1:11" x14ac:dyDescent="0.3">
      <c r="A101" s="188" t="s">
        <v>270</v>
      </c>
      <c r="B101" s="189">
        <f>B100*24</f>
        <v>18.690000000000001</v>
      </c>
      <c r="C101" s="194"/>
    </row>
    <row r="102" spans="1:11" x14ac:dyDescent="0.3">
      <c r="A102" s="95" t="s">
        <v>42</v>
      </c>
      <c r="B102" s="99">
        <v>28</v>
      </c>
      <c r="C102" s="43"/>
    </row>
    <row r="103" spans="1:11" ht="16.2" thickBot="1" x14ac:dyDescent="0.35">
      <c r="A103" s="102" t="s">
        <v>79</v>
      </c>
      <c r="B103" s="103">
        <f>B102-B101</f>
        <v>9.3099999999999987</v>
      </c>
      <c r="C103" s="2"/>
    </row>
    <row r="105" spans="1:11" x14ac:dyDescent="0.3">
      <c r="D105">
        <f>0.02*200000</f>
        <v>4000</v>
      </c>
    </row>
  </sheetData>
  <sortState xmlns:xlrd2="http://schemas.microsoft.com/office/spreadsheetml/2017/richdata2" ref="F27:Q32">
    <sortCondition descending="1" ref="G27:G32"/>
  </sortState>
  <mergeCells count="4">
    <mergeCell ref="D40:E40"/>
    <mergeCell ref="AH27:AI27"/>
    <mergeCell ref="D53:E53"/>
    <mergeCell ref="A90:B90"/>
  </mergeCells>
  <phoneticPr fontId="33" type="noConversion"/>
  <hyperlinks>
    <hyperlink ref="E36" r:id="rId2" xr:uid="{17001A40-89D1-4D99-A08A-3996E40918D5}"/>
  </hyperlinks>
  <pageMargins left="0.7" right="0.7" top="0.75" bottom="0.75" header="0.3" footer="0.3"/>
  <pageSetup orientation="portrait" r:id="rId3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EA55-9895-4812-8458-A12EE6E58078}">
  <dimension ref="A1:L123"/>
  <sheetViews>
    <sheetView topLeftCell="F39" workbookViewId="0">
      <selection activeCell="J70" sqref="J70"/>
    </sheetView>
  </sheetViews>
  <sheetFormatPr defaultColWidth="8.69921875" defaultRowHeight="14.4" x14ac:dyDescent="0.3"/>
  <cols>
    <col min="1" max="1" width="13.8984375" style="55" customWidth="1"/>
    <col min="2" max="2" width="7" style="55" customWidth="1"/>
    <col min="3" max="3" width="7.69921875" style="55" customWidth="1"/>
    <col min="4" max="4" width="16.19921875" style="55" customWidth="1"/>
    <col min="5" max="5" width="45" style="55" customWidth="1"/>
    <col min="6" max="6" width="15.19921875" style="55" bestFit="1" customWidth="1"/>
    <col min="7" max="7" width="26.5" style="55" customWidth="1"/>
    <col min="8" max="8" width="15.3984375" style="55" bestFit="1" customWidth="1"/>
    <col min="9" max="9" width="11.59765625" style="55" customWidth="1"/>
    <col min="10" max="10" width="22.59765625" style="55" customWidth="1"/>
    <col min="11" max="11" width="11.59765625" style="55" bestFit="1" customWidth="1"/>
    <col min="12" max="12" width="12.19921875" style="55" bestFit="1" customWidth="1"/>
    <col min="13" max="13" width="14.69921875" style="55" bestFit="1" customWidth="1"/>
    <col min="14" max="14" width="11.59765625" style="55" bestFit="1" customWidth="1"/>
    <col min="15" max="16384" width="8.69921875" style="55"/>
  </cols>
  <sheetData>
    <row r="1" spans="1:10" ht="24.6" x14ac:dyDescent="0.3">
      <c r="A1" s="59" t="s">
        <v>137</v>
      </c>
      <c r="B1" s="59" t="s">
        <v>136</v>
      </c>
      <c r="C1" s="59" t="s">
        <v>135</v>
      </c>
      <c r="D1" s="59" t="s">
        <v>134</v>
      </c>
      <c r="E1" s="59" t="s">
        <v>133</v>
      </c>
      <c r="F1" s="59" t="s">
        <v>132</v>
      </c>
      <c r="G1" s="59" t="s">
        <v>131</v>
      </c>
      <c r="H1" s="59" t="s">
        <v>130</v>
      </c>
      <c r="I1" s="59"/>
    </row>
    <row r="2" spans="1:10" x14ac:dyDescent="0.3">
      <c r="A2" s="57" t="s">
        <v>129</v>
      </c>
      <c r="H2" s="55">
        <v>67</v>
      </c>
      <c r="I2" s="56"/>
    </row>
    <row r="3" spans="1:10" x14ac:dyDescent="0.3">
      <c r="A3" s="57" t="s">
        <v>123</v>
      </c>
      <c r="B3" s="57" t="s">
        <v>97</v>
      </c>
      <c r="C3" s="57" t="s">
        <v>122</v>
      </c>
      <c r="D3" s="57" t="s">
        <v>121</v>
      </c>
      <c r="E3" s="57" t="s">
        <v>128</v>
      </c>
      <c r="F3" s="57" t="s">
        <v>93</v>
      </c>
      <c r="G3" s="57" t="s">
        <v>92</v>
      </c>
      <c r="H3" s="56">
        <v>6314.88</v>
      </c>
      <c r="I3" s="56"/>
    </row>
    <row r="4" spans="1:10" x14ac:dyDescent="0.3">
      <c r="A4" s="57" t="s">
        <v>123</v>
      </c>
      <c r="B4" s="57" t="s">
        <v>97</v>
      </c>
      <c r="C4" s="57" t="s">
        <v>122</v>
      </c>
      <c r="D4" s="57" t="s">
        <v>121</v>
      </c>
      <c r="E4" s="57" t="s">
        <v>127</v>
      </c>
      <c r="F4" s="57" t="s">
        <v>93</v>
      </c>
      <c r="G4" s="57" t="s">
        <v>92</v>
      </c>
      <c r="H4" s="56">
        <v>6314.88</v>
      </c>
      <c r="I4" s="56"/>
    </row>
    <row r="5" spans="1:10" x14ac:dyDescent="0.3">
      <c r="A5" s="57" t="s">
        <v>123</v>
      </c>
      <c r="B5" s="57" t="s">
        <v>97</v>
      </c>
      <c r="C5" s="57" t="s">
        <v>122</v>
      </c>
      <c r="D5" s="57" t="s">
        <v>121</v>
      </c>
      <c r="E5" s="57" t="s">
        <v>126</v>
      </c>
      <c r="F5" s="57" t="s">
        <v>93</v>
      </c>
      <c r="G5" s="57" t="s">
        <v>92</v>
      </c>
      <c r="H5" s="56">
        <v>6314.88</v>
      </c>
      <c r="I5" s="56"/>
    </row>
    <row r="6" spans="1:10" x14ac:dyDescent="0.3">
      <c r="A6" s="57" t="s">
        <v>123</v>
      </c>
      <c r="B6" s="57" t="s">
        <v>97</v>
      </c>
      <c r="C6" s="57" t="s">
        <v>122</v>
      </c>
      <c r="D6" s="57" t="s">
        <v>121</v>
      </c>
      <c r="E6" s="57" t="s">
        <v>125</v>
      </c>
      <c r="F6" s="57" t="s">
        <v>93</v>
      </c>
      <c r="G6" s="57" t="s">
        <v>92</v>
      </c>
      <c r="H6" s="56">
        <v>6314.88</v>
      </c>
      <c r="I6" s="56"/>
    </row>
    <row r="7" spans="1:10" x14ac:dyDescent="0.3">
      <c r="A7" s="57" t="s">
        <v>123</v>
      </c>
      <c r="B7" s="57" t="s">
        <v>97</v>
      </c>
      <c r="C7" s="57" t="s">
        <v>122</v>
      </c>
      <c r="D7" s="57" t="s">
        <v>121</v>
      </c>
      <c r="E7" s="57" t="s">
        <v>124</v>
      </c>
      <c r="F7" s="57" t="s">
        <v>93</v>
      </c>
      <c r="G7" s="57" t="s">
        <v>92</v>
      </c>
      <c r="H7" s="56">
        <v>6314.88</v>
      </c>
      <c r="I7" s="56"/>
    </row>
    <row r="8" spans="1:10" x14ac:dyDescent="0.3">
      <c r="A8" s="119">
        <v>45614</v>
      </c>
      <c r="B8" s="88" t="s">
        <v>97</v>
      </c>
      <c r="C8" s="88" t="s">
        <v>122</v>
      </c>
      <c r="D8" s="88" t="s">
        <v>121</v>
      </c>
      <c r="E8" s="88" t="s">
        <v>124</v>
      </c>
      <c r="F8" s="88" t="s">
        <v>93</v>
      </c>
      <c r="G8" s="88" t="s">
        <v>92</v>
      </c>
      <c r="H8" s="89">
        <f>I8*0.33</f>
        <v>6660.72</v>
      </c>
      <c r="I8" s="120">
        <f>'Excess worksheet 11-26-2024'!I14*24</f>
        <v>20184</v>
      </c>
      <c r="J8" s="87" t="s">
        <v>252</v>
      </c>
    </row>
    <row r="9" spans="1:10" x14ac:dyDescent="0.3">
      <c r="A9" s="57"/>
      <c r="B9" s="57"/>
      <c r="C9" s="57"/>
      <c r="D9" s="57"/>
      <c r="E9" s="57"/>
      <c r="F9" s="57"/>
      <c r="G9" s="57"/>
      <c r="H9" s="56">
        <f>SUM(H2:H8)</f>
        <v>38302.120000000003</v>
      </c>
      <c r="I9" s="56"/>
    </row>
    <row r="10" spans="1:10" x14ac:dyDescent="0.3">
      <c r="A10" s="57"/>
      <c r="B10" s="57"/>
      <c r="C10" s="57"/>
      <c r="D10" s="57"/>
      <c r="E10" s="57"/>
      <c r="F10" s="57"/>
      <c r="G10" s="57"/>
      <c r="H10" s="56"/>
      <c r="I10" s="56"/>
    </row>
    <row r="11" spans="1:10" x14ac:dyDescent="0.3">
      <c r="A11" s="57" t="s">
        <v>123</v>
      </c>
      <c r="B11" s="57" t="s">
        <v>97</v>
      </c>
      <c r="C11" s="57" t="s">
        <v>122</v>
      </c>
      <c r="D11" s="57" t="s">
        <v>121</v>
      </c>
      <c r="E11" s="57" t="s">
        <v>120</v>
      </c>
      <c r="F11" s="57" t="s">
        <v>93</v>
      </c>
      <c r="G11" s="57" t="s">
        <v>92</v>
      </c>
      <c r="H11" s="56">
        <v>6679.2</v>
      </c>
      <c r="I11" s="56"/>
    </row>
    <row r="12" spans="1:10" x14ac:dyDescent="0.3">
      <c r="A12" s="119">
        <v>45614</v>
      </c>
      <c r="B12" s="88" t="s">
        <v>97</v>
      </c>
      <c r="C12" s="88" t="s">
        <v>122</v>
      </c>
      <c r="D12" s="88" t="s">
        <v>121</v>
      </c>
      <c r="E12" s="88" t="s">
        <v>120</v>
      </c>
      <c r="F12" s="88" t="s">
        <v>93</v>
      </c>
      <c r="G12" s="88" t="s">
        <v>92</v>
      </c>
      <c r="H12" s="89">
        <f>I12*0.07</f>
        <v>353.22</v>
      </c>
      <c r="I12" s="120">
        <v>5046</v>
      </c>
      <c r="J12" s="87" t="s">
        <v>252</v>
      </c>
    </row>
    <row r="13" spans="1:10" x14ac:dyDescent="0.3">
      <c r="A13" s="119"/>
      <c r="B13" s="88"/>
      <c r="C13" s="88"/>
      <c r="D13" s="88"/>
      <c r="E13" s="88"/>
      <c r="F13" s="88"/>
      <c r="G13" s="88"/>
      <c r="H13" s="56">
        <f>SUM(H11:H12)</f>
        <v>7032.42</v>
      </c>
      <c r="I13" s="120"/>
      <c r="J13" s="87"/>
    </row>
    <row r="14" spans="1:10" x14ac:dyDescent="0.3">
      <c r="A14" s="57"/>
      <c r="B14" s="57"/>
      <c r="C14" s="57"/>
      <c r="D14" s="57"/>
      <c r="E14" s="57"/>
      <c r="F14" s="57"/>
      <c r="G14" s="57"/>
      <c r="H14" s="56"/>
      <c r="I14" s="56"/>
    </row>
    <row r="15" spans="1:10" x14ac:dyDescent="0.3">
      <c r="A15" s="57" t="s">
        <v>114</v>
      </c>
      <c r="B15" s="57" t="s">
        <v>97</v>
      </c>
      <c r="C15" s="57">
        <v>26331</v>
      </c>
      <c r="D15" s="57" t="s">
        <v>113</v>
      </c>
      <c r="E15" s="57" t="s">
        <v>119</v>
      </c>
      <c r="F15" s="57" t="s">
        <v>93</v>
      </c>
      <c r="G15" s="57" t="s">
        <v>92</v>
      </c>
      <c r="H15" s="56">
        <v>2620.8000000000002</v>
      </c>
      <c r="I15" s="56"/>
    </row>
    <row r="16" spans="1:10" x14ac:dyDescent="0.3">
      <c r="A16" s="57" t="s">
        <v>114</v>
      </c>
      <c r="B16" s="57" t="s">
        <v>97</v>
      </c>
      <c r="C16" s="57">
        <v>26331</v>
      </c>
      <c r="D16" s="57" t="s">
        <v>113</v>
      </c>
      <c r="E16" s="57" t="s">
        <v>117</v>
      </c>
      <c r="F16" s="57" t="s">
        <v>93</v>
      </c>
      <c r="G16" s="57" t="s">
        <v>92</v>
      </c>
      <c r="H16" s="56">
        <v>2706.6</v>
      </c>
      <c r="I16" s="56"/>
    </row>
    <row r="17" spans="1:10" ht="21.6" x14ac:dyDescent="0.3">
      <c r="A17" s="57" t="s">
        <v>114</v>
      </c>
      <c r="B17" s="57" t="s">
        <v>97</v>
      </c>
      <c r="C17" s="57">
        <v>26331</v>
      </c>
      <c r="D17" s="57" t="s">
        <v>113</v>
      </c>
      <c r="E17" s="57" t="s">
        <v>116</v>
      </c>
      <c r="F17" s="57" t="s">
        <v>93</v>
      </c>
      <c r="G17" s="57" t="s">
        <v>92</v>
      </c>
      <c r="H17" s="56">
        <v>2730</v>
      </c>
      <c r="I17" s="56"/>
    </row>
    <row r="18" spans="1:10" x14ac:dyDescent="0.3">
      <c r="A18" s="57" t="s">
        <v>114</v>
      </c>
      <c r="B18" s="57" t="s">
        <v>97</v>
      </c>
      <c r="C18" s="57">
        <v>26331</v>
      </c>
      <c r="D18" s="57" t="s">
        <v>113</v>
      </c>
      <c r="E18" s="57" t="s">
        <v>115</v>
      </c>
      <c r="F18" s="57" t="s">
        <v>93</v>
      </c>
      <c r="G18" s="57" t="s">
        <v>92</v>
      </c>
      <c r="H18" s="56">
        <v>2901.6</v>
      </c>
      <c r="I18" s="56"/>
    </row>
    <row r="19" spans="1:10" x14ac:dyDescent="0.3">
      <c r="A19" s="57" t="s">
        <v>114</v>
      </c>
      <c r="B19" s="57" t="s">
        <v>97</v>
      </c>
      <c r="C19" s="57">
        <v>26331</v>
      </c>
      <c r="D19" s="57" t="s">
        <v>113</v>
      </c>
      <c r="E19" s="57" t="s">
        <v>112</v>
      </c>
      <c r="F19" s="57" t="s">
        <v>93</v>
      </c>
      <c r="G19" s="57" t="s">
        <v>92</v>
      </c>
      <c r="H19" s="56">
        <v>2901.6</v>
      </c>
      <c r="I19" s="56"/>
    </row>
    <row r="20" spans="1:10" x14ac:dyDescent="0.3">
      <c r="A20" s="57" t="s">
        <v>114</v>
      </c>
      <c r="B20" s="57" t="s">
        <v>97</v>
      </c>
      <c r="C20" s="57">
        <v>26331</v>
      </c>
      <c r="D20" s="57" t="s">
        <v>113</v>
      </c>
      <c r="E20" s="57" t="s">
        <v>112</v>
      </c>
      <c r="F20" s="57" t="s">
        <v>93</v>
      </c>
      <c r="G20" s="57" t="s">
        <v>92</v>
      </c>
      <c r="H20" s="56">
        <v>2901.6</v>
      </c>
      <c r="I20" s="56"/>
    </row>
    <row r="21" spans="1:10" x14ac:dyDescent="0.3">
      <c r="A21" s="119">
        <v>45614</v>
      </c>
      <c r="B21" s="88" t="s">
        <v>97</v>
      </c>
      <c r="C21" s="88">
        <v>26331</v>
      </c>
      <c r="D21" s="88" t="s">
        <v>113</v>
      </c>
      <c r="E21" s="88" t="s">
        <v>253</v>
      </c>
      <c r="F21" s="88" t="s">
        <v>93</v>
      </c>
      <c r="G21" s="88" t="s">
        <v>92</v>
      </c>
      <c r="H21" s="89">
        <f>'Excess worksheet 11-26-2024'!N34</f>
        <v>3116.5574999999999</v>
      </c>
      <c r="I21" s="56">
        <f>'Excess worksheet 11-26-2024'!L34</f>
        <v>438.9375</v>
      </c>
      <c r="J21" s="87" t="s">
        <v>252</v>
      </c>
    </row>
    <row r="22" spans="1:10" x14ac:dyDescent="0.3">
      <c r="A22" s="57"/>
      <c r="B22" s="57"/>
      <c r="C22" s="57"/>
      <c r="D22" s="57"/>
      <c r="E22" s="57"/>
      <c r="F22" s="57"/>
      <c r="G22" s="57"/>
      <c r="H22" s="56">
        <f>SUM(H15:H19)</f>
        <v>13860.6</v>
      </c>
      <c r="I22" s="56"/>
    </row>
    <row r="23" spans="1:10" x14ac:dyDescent="0.3">
      <c r="A23" s="57"/>
      <c r="B23" s="57"/>
      <c r="C23" s="57"/>
      <c r="D23" s="57"/>
      <c r="E23" s="57"/>
      <c r="F23" s="57"/>
      <c r="G23" s="57"/>
      <c r="H23" s="56"/>
      <c r="I23" s="56"/>
    </row>
    <row r="24" spans="1:10" x14ac:dyDescent="0.3">
      <c r="A24" s="109">
        <v>45657</v>
      </c>
      <c r="B24" s="108" t="s">
        <v>97</v>
      </c>
      <c r="C24" s="108" t="s">
        <v>254</v>
      </c>
      <c r="D24" s="108" t="s">
        <v>108</v>
      </c>
      <c r="E24" s="108" t="s">
        <v>184</v>
      </c>
      <c r="F24" s="108" t="s">
        <v>93</v>
      </c>
      <c r="G24" s="108" t="s">
        <v>92</v>
      </c>
      <c r="H24" s="107">
        <v>798</v>
      </c>
      <c r="I24" s="56"/>
      <c r="J24" s="55" t="s">
        <v>267</v>
      </c>
    </row>
    <row r="25" spans="1:10" x14ac:dyDescent="0.3">
      <c r="A25" s="109">
        <v>45679</v>
      </c>
      <c r="B25" s="108" t="s">
        <v>97</v>
      </c>
      <c r="C25" s="108" t="s">
        <v>255</v>
      </c>
      <c r="D25" s="108" t="s">
        <v>256</v>
      </c>
      <c r="E25" s="108" t="s">
        <v>184</v>
      </c>
      <c r="F25" s="108" t="s">
        <v>93</v>
      </c>
      <c r="G25" s="108" t="s">
        <v>92</v>
      </c>
      <c r="H25" s="107">
        <v>1305</v>
      </c>
      <c r="I25" s="56"/>
      <c r="J25" s="55" t="s">
        <v>268</v>
      </c>
    </row>
    <row r="26" spans="1:10" x14ac:dyDescent="0.3">
      <c r="A26" s="109">
        <v>45681</v>
      </c>
      <c r="B26" s="108" t="s">
        <v>97</v>
      </c>
      <c r="C26" s="108" t="s">
        <v>257</v>
      </c>
      <c r="D26" s="108" t="s">
        <v>258</v>
      </c>
      <c r="E26" s="108" t="s">
        <v>184</v>
      </c>
      <c r="F26" s="108" t="s">
        <v>93</v>
      </c>
      <c r="G26" s="108" t="s">
        <v>92</v>
      </c>
      <c r="H26" s="107">
        <v>4270.6000000000004</v>
      </c>
      <c r="I26" s="56"/>
    </row>
    <row r="27" spans="1:10" x14ac:dyDescent="0.3">
      <c r="A27" s="109">
        <v>45685</v>
      </c>
      <c r="B27" s="108" t="s">
        <v>97</v>
      </c>
      <c r="C27" s="108" t="s">
        <v>259</v>
      </c>
      <c r="D27" s="108" t="s">
        <v>108</v>
      </c>
      <c r="E27" s="108" t="s">
        <v>184</v>
      </c>
      <c r="F27" s="108" t="s">
        <v>93</v>
      </c>
      <c r="G27" s="108" t="s">
        <v>92</v>
      </c>
      <c r="H27" s="107">
        <v>2095</v>
      </c>
      <c r="I27" s="56"/>
    </row>
    <row r="28" spans="1:10" ht="21.6" x14ac:dyDescent="0.3">
      <c r="A28" s="109">
        <v>45688</v>
      </c>
      <c r="B28" s="108" t="s">
        <v>97</v>
      </c>
      <c r="C28" s="108" t="s">
        <v>184</v>
      </c>
      <c r="D28" s="108" t="s">
        <v>260</v>
      </c>
      <c r="E28" s="108" t="s">
        <v>184</v>
      </c>
      <c r="F28" s="108" t="s">
        <v>93</v>
      </c>
      <c r="G28" s="108" t="s">
        <v>92</v>
      </c>
      <c r="H28" s="107">
        <v>472.5</v>
      </c>
      <c r="I28" s="56"/>
    </row>
    <row r="29" spans="1:10" ht="21.6" x14ac:dyDescent="0.3">
      <c r="A29" s="109">
        <v>45688</v>
      </c>
      <c r="B29" s="108" t="s">
        <v>97</v>
      </c>
      <c r="C29" s="108" t="s">
        <v>184</v>
      </c>
      <c r="D29" s="108" t="s">
        <v>260</v>
      </c>
      <c r="E29" s="108" t="s">
        <v>150</v>
      </c>
      <c r="F29" s="108" t="s">
        <v>93</v>
      </c>
      <c r="G29" s="108" t="s">
        <v>92</v>
      </c>
      <c r="H29" s="107">
        <v>262.5</v>
      </c>
      <c r="I29" s="56"/>
    </row>
    <row r="30" spans="1:10" x14ac:dyDescent="0.3">
      <c r="A30" s="109">
        <v>45690</v>
      </c>
      <c r="B30" s="108" t="s">
        <v>106</v>
      </c>
      <c r="C30" s="108" t="s">
        <v>261</v>
      </c>
      <c r="D30" s="108" t="s">
        <v>262</v>
      </c>
      <c r="E30" s="108" t="s">
        <v>263</v>
      </c>
      <c r="F30" s="108" t="s">
        <v>93</v>
      </c>
      <c r="G30" s="108" t="s">
        <v>102</v>
      </c>
      <c r="H30" s="107">
        <v>950</v>
      </c>
      <c r="I30" s="56"/>
    </row>
    <row r="31" spans="1:10" x14ac:dyDescent="0.3">
      <c r="A31" s="57"/>
      <c r="B31" s="57"/>
      <c r="C31" s="57"/>
      <c r="D31" s="57"/>
      <c r="E31" s="57"/>
      <c r="F31" s="57"/>
      <c r="G31" s="57"/>
      <c r="H31" s="120">
        <f>SUM(H24:H30)</f>
        <v>10153.6</v>
      </c>
      <c r="I31" s="56"/>
    </row>
    <row r="32" spans="1:10" x14ac:dyDescent="0.3">
      <c r="A32" s="57"/>
      <c r="B32" s="57"/>
      <c r="C32" s="57"/>
      <c r="D32" s="57"/>
      <c r="E32" s="57"/>
      <c r="F32" s="57"/>
      <c r="G32" s="57"/>
      <c r="H32" s="56"/>
    </row>
    <row r="34" spans="3:12" x14ac:dyDescent="0.3">
      <c r="G34" s="65" t="s">
        <v>264</v>
      </c>
      <c r="H34" s="66">
        <f>H31+H21+H12+H8</f>
        <v>20284.0975</v>
      </c>
    </row>
    <row r="35" spans="3:12" x14ac:dyDescent="0.3">
      <c r="H35" s="60"/>
    </row>
    <row r="37" spans="3:12" ht="15" thickBot="1" x14ac:dyDescent="0.35"/>
    <row r="38" spans="3:12" x14ac:dyDescent="0.3">
      <c r="F38" s="142"/>
      <c r="G38" s="372">
        <v>45614</v>
      </c>
      <c r="H38" s="373"/>
      <c r="I38" s="117"/>
      <c r="J38" s="75" t="s">
        <v>265</v>
      </c>
      <c r="K38" s="144" t="s">
        <v>222</v>
      </c>
      <c r="L38" s="144" t="s">
        <v>243</v>
      </c>
    </row>
    <row r="39" spans="3:12" x14ac:dyDescent="0.3">
      <c r="F39" s="85"/>
      <c r="G39" s="90" t="s">
        <v>141</v>
      </c>
      <c r="H39" s="91">
        <f>L45</f>
        <v>20016</v>
      </c>
      <c r="J39" s="145" t="s">
        <v>145</v>
      </c>
      <c r="K39" s="55">
        <v>127</v>
      </c>
      <c r="L39" s="55">
        <f>K39*24</f>
        <v>3048</v>
      </c>
    </row>
    <row r="40" spans="3:12" x14ac:dyDescent="0.3">
      <c r="G40" s="90"/>
      <c r="H40" s="92"/>
      <c r="J40" s="145" t="s">
        <v>214</v>
      </c>
      <c r="K40" s="55">
        <v>181</v>
      </c>
      <c r="L40" s="55">
        <f t="shared" ref="L40:L43" si="0">K40*24</f>
        <v>4344</v>
      </c>
    </row>
    <row r="41" spans="3:12" ht="15.6" x14ac:dyDescent="0.3">
      <c r="G41" s="93"/>
      <c r="H41" s="94" t="s">
        <v>3</v>
      </c>
      <c r="J41" s="145" t="s">
        <v>223</v>
      </c>
      <c r="K41" s="55">
        <v>181</v>
      </c>
      <c r="L41" s="55">
        <f t="shared" si="0"/>
        <v>4344</v>
      </c>
    </row>
    <row r="42" spans="3:12" ht="15.6" x14ac:dyDescent="0.3">
      <c r="F42" s="86"/>
      <c r="G42" s="95" t="s">
        <v>68</v>
      </c>
      <c r="H42" s="96">
        <f>H8/H39</f>
        <v>0.3327697841726619</v>
      </c>
      <c r="I42" s="67"/>
      <c r="J42" s="145" t="s">
        <v>241</v>
      </c>
      <c r="K42" s="55">
        <v>173</v>
      </c>
      <c r="L42" s="55">
        <f t="shared" si="0"/>
        <v>4152</v>
      </c>
    </row>
    <row r="43" spans="3:12" ht="15.6" x14ac:dyDescent="0.3">
      <c r="F43" s="86"/>
      <c r="G43" s="95" t="s">
        <v>139</v>
      </c>
      <c r="H43" s="96">
        <f>H12/H39</f>
        <v>1.7646882494004798E-2</v>
      </c>
      <c r="I43" s="67"/>
      <c r="J43" s="145" t="s">
        <v>242</v>
      </c>
      <c r="K43" s="75">
        <v>172</v>
      </c>
      <c r="L43" s="75">
        <f t="shared" si="0"/>
        <v>4128</v>
      </c>
    </row>
    <row r="44" spans="3:12" ht="17.399999999999999" x14ac:dyDescent="0.3">
      <c r="C44" s="140"/>
      <c r="D44" s="141"/>
      <c r="E44" s="85"/>
      <c r="F44" s="86"/>
      <c r="G44" s="95" t="s">
        <v>0</v>
      </c>
      <c r="H44" s="97">
        <f>H26/H39</f>
        <v>0.21335931254996005</v>
      </c>
      <c r="I44" s="67"/>
      <c r="J44" s="145" t="s">
        <v>222</v>
      </c>
      <c r="K44" s="55">
        <f>SUM(K39:K43)</f>
        <v>834</v>
      </c>
    </row>
    <row r="45" spans="3:12" ht="15.6" x14ac:dyDescent="0.3">
      <c r="F45" s="86"/>
      <c r="G45" s="95" t="s">
        <v>40</v>
      </c>
      <c r="H45" s="98">
        <f>H21/H39</f>
        <v>0.15570331235011989</v>
      </c>
      <c r="I45" s="67"/>
      <c r="J45" s="145" t="s">
        <v>243</v>
      </c>
      <c r="L45" s="55">
        <f>SUM(L39:L43)</f>
        <v>20016</v>
      </c>
    </row>
    <row r="46" spans="3:12" ht="15.6" x14ac:dyDescent="0.3">
      <c r="E46" s="85"/>
      <c r="F46" s="86"/>
      <c r="G46" s="95" t="s">
        <v>266</v>
      </c>
      <c r="H46" s="98">
        <f>(H25+H30)/H34</f>
        <v>0.11117083222460354</v>
      </c>
      <c r="I46" s="67"/>
    </row>
    <row r="47" spans="3:12" ht="15.6" x14ac:dyDescent="0.3">
      <c r="F47" s="86"/>
      <c r="G47" s="95" t="s">
        <v>69</v>
      </c>
      <c r="H47" s="98">
        <f>(H24+H26)/H39</f>
        <v>0.2532274180655476</v>
      </c>
      <c r="I47" s="67"/>
    </row>
    <row r="48" spans="3:12" ht="15.6" x14ac:dyDescent="0.3">
      <c r="G48" s="95" t="s">
        <v>71</v>
      </c>
      <c r="H48" s="99">
        <f>(H29+H28)/H34</f>
        <v>3.6235282343717784E-2</v>
      </c>
      <c r="I48" s="67"/>
      <c r="J48" s="55" t="s">
        <v>269</v>
      </c>
      <c r="L48" s="67">
        <v>23689.27</v>
      </c>
    </row>
    <row r="49" spans="7:12" ht="15.6" x14ac:dyDescent="0.3">
      <c r="G49" s="95" t="s">
        <v>57</v>
      </c>
      <c r="H49" s="97">
        <f>SUM(H42:H48)</f>
        <v>1.1201128242006155</v>
      </c>
      <c r="I49" s="67"/>
      <c r="J49" s="55" t="s">
        <v>271</v>
      </c>
      <c r="L49" s="146">
        <f>L48/K44</f>
        <v>28.404400479616307</v>
      </c>
    </row>
    <row r="50" spans="7:12" ht="15.6" x14ac:dyDescent="0.3">
      <c r="G50" s="100" t="s">
        <v>270</v>
      </c>
      <c r="H50" s="101">
        <f>H49*24</f>
        <v>26.882707780814773</v>
      </c>
      <c r="I50" s="67"/>
    </row>
    <row r="51" spans="7:12" ht="15.6" x14ac:dyDescent="0.3">
      <c r="G51" s="95" t="s">
        <v>42</v>
      </c>
      <c r="H51" s="99">
        <v>28</v>
      </c>
      <c r="I51" s="67"/>
    </row>
    <row r="52" spans="7:12" ht="16.2" thickBot="1" x14ac:dyDescent="0.35">
      <c r="G52" s="102" t="s">
        <v>79</v>
      </c>
      <c r="H52" s="103">
        <f>H51-H50</f>
        <v>1.1172922191852273</v>
      </c>
    </row>
    <row r="53" spans="7:12" ht="15.6" x14ac:dyDescent="0.3">
      <c r="G53" s="68"/>
      <c r="H53"/>
    </row>
    <row r="54" spans="7:12" ht="15.6" x14ac:dyDescent="0.3">
      <c r="G54" s="68"/>
      <c r="H54" s="48"/>
    </row>
    <row r="55" spans="7:12" ht="15.6" x14ac:dyDescent="0.3">
      <c r="G55" s="68"/>
      <c r="H55" s="48"/>
    </row>
    <row r="56" spans="7:12" ht="15.6" x14ac:dyDescent="0.3">
      <c r="G56" s="68"/>
      <c r="H56" s="48"/>
    </row>
    <row r="57" spans="7:12" ht="15.6" x14ac:dyDescent="0.3">
      <c r="G57" s="68"/>
      <c r="H57" s="48">
        <v>23689.27</v>
      </c>
    </row>
    <row r="58" spans="7:12" ht="15.6" x14ac:dyDescent="0.3">
      <c r="G58" s="68"/>
      <c r="H58" s="48">
        <v>22417.919999999998</v>
      </c>
    </row>
    <row r="59" spans="7:12" ht="15.6" x14ac:dyDescent="0.3">
      <c r="G59" s="68"/>
      <c r="H59" s="48">
        <f>H57-H58</f>
        <v>1271.3500000000022</v>
      </c>
    </row>
    <row r="60" spans="7:12" ht="15.6" x14ac:dyDescent="0.3">
      <c r="G60" s="68"/>
      <c r="H60" s="48"/>
    </row>
    <row r="61" spans="7:12" ht="15.6" x14ac:dyDescent="0.3">
      <c r="G61" s="68"/>
      <c r="H61" s="48"/>
    </row>
    <row r="62" spans="7:12" ht="15.6" x14ac:dyDescent="0.3">
      <c r="G62" s="68"/>
      <c r="H62" s="48"/>
    </row>
    <row r="63" spans="7:12" ht="15.6" x14ac:dyDescent="0.3">
      <c r="G63" s="68"/>
      <c r="H63" s="48"/>
    </row>
    <row r="64" spans="7:12" ht="15.6" x14ac:dyDescent="0.3">
      <c r="G64" s="68"/>
      <c r="H64" s="48"/>
    </row>
    <row r="65" spans="7:8" ht="15.6" x14ac:dyDescent="0.3">
      <c r="G65" s="68"/>
      <c r="H65" s="48"/>
    </row>
    <row r="66" spans="7:8" ht="15.6" x14ac:dyDescent="0.3">
      <c r="G66" s="68"/>
      <c r="H66" s="48"/>
    </row>
    <row r="67" spans="7:8" ht="15.6" x14ac:dyDescent="0.3">
      <c r="G67" s="68"/>
      <c r="H67" s="48"/>
    </row>
    <row r="68" spans="7:8" ht="15.6" x14ac:dyDescent="0.3">
      <c r="G68" s="68"/>
      <c r="H68" s="48"/>
    </row>
    <row r="69" spans="7:8" ht="15.6" x14ac:dyDescent="0.3">
      <c r="G69" s="68"/>
      <c r="H69" s="48"/>
    </row>
    <row r="70" spans="7:8" ht="15.6" x14ac:dyDescent="0.3">
      <c r="G70" s="68"/>
      <c r="H70" s="48"/>
    </row>
    <row r="71" spans="7:8" ht="15.6" x14ac:dyDescent="0.3">
      <c r="G71" s="68"/>
      <c r="H71" s="48"/>
    </row>
    <row r="72" spans="7:8" ht="15.6" x14ac:dyDescent="0.3">
      <c r="G72" s="68"/>
      <c r="H72" s="48"/>
    </row>
    <row r="73" spans="7:8" ht="15.6" x14ac:dyDescent="0.3">
      <c r="G73" s="68"/>
      <c r="H73" s="48"/>
    </row>
    <row r="74" spans="7:8" ht="15.6" x14ac:dyDescent="0.3">
      <c r="G74" s="68"/>
      <c r="H74" s="48"/>
    </row>
    <row r="75" spans="7:8" ht="15.6" x14ac:dyDescent="0.3">
      <c r="G75" s="68"/>
      <c r="H75" s="48"/>
    </row>
    <row r="76" spans="7:8" ht="15.6" x14ac:dyDescent="0.3">
      <c r="G76" s="68"/>
      <c r="H76" s="48"/>
    </row>
    <row r="77" spans="7:8" ht="15.6" x14ac:dyDescent="0.3">
      <c r="G77" s="68"/>
      <c r="H77" s="48"/>
    </row>
    <row r="78" spans="7:8" ht="15.6" x14ac:dyDescent="0.3">
      <c r="G78" s="68"/>
      <c r="H78" s="48"/>
    </row>
    <row r="79" spans="7:8" ht="15.6" x14ac:dyDescent="0.3">
      <c r="G79" s="68"/>
      <c r="H79" s="48"/>
    </row>
    <row r="80" spans="7:8" ht="15.6" x14ac:dyDescent="0.3">
      <c r="G80" s="68"/>
      <c r="H80" s="48"/>
    </row>
    <row r="81" spans="7:8" ht="15.6" x14ac:dyDescent="0.3">
      <c r="G81" s="68"/>
      <c r="H81" s="48"/>
    </row>
    <row r="82" spans="7:8" ht="15.6" x14ac:dyDescent="0.3">
      <c r="G82" s="68"/>
      <c r="H82" s="48"/>
    </row>
    <row r="83" spans="7:8" ht="15.6" x14ac:dyDescent="0.3">
      <c r="G83" s="68"/>
      <c r="H83" s="48"/>
    </row>
    <row r="84" spans="7:8" ht="15.6" x14ac:dyDescent="0.3">
      <c r="G84" s="68"/>
      <c r="H84" s="48"/>
    </row>
    <row r="85" spans="7:8" ht="15.6" x14ac:dyDescent="0.3">
      <c r="G85" s="68"/>
      <c r="H85" s="48"/>
    </row>
    <row r="86" spans="7:8" ht="15.6" x14ac:dyDescent="0.3">
      <c r="G86" s="68"/>
      <c r="H86" s="48"/>
    </row>
    <row r="87" spans="7:8" ht="15.6" x14ac:dyDescent="0.3">
      <c r="G87" s="68"/>
      <c r="H87" s="48"/>
    </row>
    <row r="88" spans="7:8" ht="15.6" x14ac:dyDescent="0.3">
      <c r="G88" s="68"/>
      <c r="H88" s="48"/>
    </row>
    <row r="89" spans="7:8" ht="15.6" x14ac:dyDescent="0.3">
      <c r="G89" s="68"/>
      <c r="H89" s="48"/>
    </row>
    <row r="90" spans="7:8" ht="15.6" x14ac:dyDescent="0.3">
      <c r="G90" s="68"/>
      <c r="H90" s="48"/>
    </row>
    <row r="91" spans="7:8" ht="15.6" x14ac:dyDescent="0.3">
      <c r="G91" s="68"/>
      <c r="H91" s="48"/>
    </row>
    <row r="92" spans="7:8" ht="15.6" x14ac:dyDescent="0.3">
      <c r="G92" s="68"/>
      <c r="H92" s="48"/>
    </row>
    <row r="93" spans="7:8" ht="15.6" x14ac:dyDescent="0.3">
      <c r="G93" s="68"/>
      <c r="H93" s="48"/>
    </row>
    <row r="94" spans="7:8" ht="15.6" x14ac:dyDescent="0.3">
      <c r="G94" s="68"/>
      <c r="H94" s="48"/>
    </row>
    <row r="95" spans="7:8" ht="15.6" x14ac:dyDescent="0.3">
      <c r="G95" s="68"/>
      <c r="H95" s="48"/>
    </row>
    <row r="96" spans="7:8" ht="15.6" x14ac:dyDescent="0.3">
      <c r="G96" s="68"/>
      <c r="H96" s="48"/>
    </row>
    <row r="97" spans="7:8" ht="15.6" x14ac:dyDescent="0.3">
      <c r="G97" s="68"/>
      <c r="H97" s="48"/>
    </row>
    <row r="98" spans="7:8" ht="15.6" x14ac:dyDescent="0.3">
      <c r="G98" s="68"/>
      <c r="H98" s="48"/>
    </row>
    <row r="99" spans="7:8" ht="15.6" x14ac:dyDescent="0.3">
      <c r="G99" s="68"/>
      <c r="H99" s="48"/>
    </row>
    <row r="100" spans="7:8" ht="15.6" x14ac:dyDescent="0.3">
      <c r="G100" s="68"/>
      <c r="H100" s="48"/>
    </row>
    <row r="101" spans="7:8" ht="15.6" x14ac:dyDescent="0.3">
      <c r="G101" s="68"/>
      <c r="H101" s="48"/>
    </row>
    <row r="102" spans="7:8" ht="15.6" x14ac:dyDescent="0.3">
      <c r="G102" s="68"/>
      <c r="H102" s="48"/>
    </row>
    <row r="103" spans="7:8" ht="15.6" x14ac:dyDescent="0.3">
      <c r="G103" s="68"/>
      <c r="H103" s="48"/>
    </row>
    <row r="104" spans="7:8" ht="15.6" x14ac:dyDescent="0.3">
      <c r="G104" s="68"/>
      <c r="H104" s="48"/>
    </row>
    <row r="105" spans="7:8" ht="15.6" x14ac:dyDescent="0.3">
      <c r="G105" s="68"/>
      <c r="H105" s="48"/>
    </row>
    <row r="106" spans="7:8" ht="15.6" x14ac:dyDescent="0.3">
      <c r="G106" s="68"/>
      <c r="H106" s="48"/>
    </row>
    <row r="107" spans="7:8" ht="15.6" x14ac:dyDescent="0.3">
      <c r="G107" s="68"/>
      <c r="H107" s="48"/>
    </row>
    <row r="108" spans="7:8" ht="15.6" x14ac:dyDescent="0.3">
      <c r="G108" s="68"/>
      <c r="H108" s="48"/>
    </row>
    <row r="109" spans="7:8" ht="15.6" x14ac:dyDescent="0.3">
      <c r="G109" s="68"/>
      <c r="H109" s="48"/>
    </row>
    <row r="110" spans="7:8" ht="15.6" x14ac:dyDescent="0.3">
      <c r="G110" s="68"/>
      <c r="H110" s="48"/>
    </row>
    <row r="111" spans="7:8" ht="15.6" x14ac:dyDescent="0.3">
      <c r="G111" s="68"/>
      <c r="H111" s="48"/>
    </row>
    <row r="112" spans="7:8" ht="15.6" x14ac:dyDescent="0.3">
      <c r="G112" s="68"/>
      <c r="H112" s="48"/>
    </row>
    <row r="113" spans="7:8" ht="15.6" x14ac:dyDescent="0.3">
      <c r="G113" s="68"/>
      <c r="H113" s="48"/>
    </row>
    <row r="114" spans="7:8" ht="15.6" x14ac:dyDescent="0.3">
      <c r="G114" s="68"/>
      <c r="H114" s="48"/>
    </row>
    <row r="115" spans="7:8" ht="15.6" x14ac:dyDescent="0.3">
      <c r="G115" s="68"/>
      <c r="H115" s="48"/>
    </row>
    <row r="116" spans="7:8" ht="15.6" x14ac:dyDescent="0.3">
      <c r="G116" s="68"/>
      <c r="H116" s="48"/>
    </row>
    <row r="117" spans="7:8" ht="15.6" x14ac:dyDescent="0.3">
      <c r="G117" s="68"/>
      <c r="H117" s="48"/>
    </row>
    <row r="118" spans="7:8" ht="15.6" x14ac:dyDescent="0.3">
      <c r="G118" s="68"/>
      <c r="H118" s="48"/>
    </row>
    <row r="119" spans="7:8" ht="15.6" x14ac:dyDescent="0.3">
      <c r="G119" s="68"/>
      <c r="H119" s="48"/>
    </row>
    <row r="120" spans="7:8" ht="15.6" x14ac:dyDescent="0.3">
      <c r="G120" s="68"/>
      <c r="H120" s="48"/>
    </row>
    <row r="121" spans="7:8" ht="15.6" x14ac:dyDescent="0.3">
      <c r="G121" s="68"/>
      <c r="H121" s="48"/>
    </row>
    <row r="122" spans="7:8" ht="15.6" x14ac:dyDescent="0.3">
      <c r="G122" s="68"/>
      <c r="H122" s="48"/>
    </row>
    <row r="123" spans="7:8" ht="15.6" x14ac:dyDescent="0.3">
      <c r="G123" s="68"/>
      <c r="H123" s="48"/>
    </row>
  </sheetData>
  <mergeCells count="1">
    <mergeCell ref="G38:H38"/>
  </mergeCells>
  <conditionalFormatting sqref="I42:I49">
    <cfRule type="cellIs" dxfId="1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7924-0CDD-40CD-A560-01C1EBEBACAF}">
  <dimension ref="A1:S121"/>
  <sheetViews>
    <sheetView topLeftCell="F107" workbookViewId="0">
      <selection activeCell="J123" sqref="J123"/>
    </sheetView>
  </sheetViews>
  <sheetFormatPr defaultColWidth="8.69921875" defaultRowHeight="14.4" x14ac:dyDescent="0.3"/>
  <cols>
    <col min="1" max="1" width="13.8984375" style="55" customWidth="1"/>
    <col min="2" max="2" width="7" style="55" customWidth="1"/>
    <col min="3" max="3" width="7.69921875" style="55" customWidth="1"/>
    <col min="4" max="4" width="16.19921875" style="55" customWidth="1"/>
    <col min="5" max="5" width="45" style="55" customWidth="1"/>
    <col min="6" max="6" width="15.19921875" style="55" bestFit="1" customWidth="1"/>
    <col min="7" max="7" width="16.19921875" style="55" customWidth="1"/>
    <col min="8" max="8" width="15.3984375" style="55" bestFit="1" customWidth="1"/>
    <col min="9" max="9" width="11.59765625" style="55" customWidth="1"/>
    <col min="10" max="10" width="14.69921875" style="55" bestFit="1" customWidth="1"/>
    <col min="11" max="11" width="11.59765625" style="55" bestFit="1" customWidth="1"/>
    <col min="12" max="12" width="8.69921875" style="55"/>
    <col min="13" max="13" width="14.69921875" style="55" bestFit="1" customWidth="1"/>
    <col min="14" max="14" width="11.59765625" style="55" bestFit="1" customWidth="1"/>
    <col min="15" max="16384" width="8.69921875" style="55"/>
  </cols>
  <sheetData>
    <row r="1" spans="1:15" ht="24.6" x14ac:dyDescent="0.3">
      <c r="A1" s="59" t="s">
        <v>137</v>
      </c>
      <c r="B1" s="59" t="s">
        <v>136</v>
      </c>
      <c r="C1" s="59" t="s">
        <v>135</v>
      </c>
      <c r="D1" s="59" t="s">
        <v>134</v>
      </c>
      <c r="E1" s="59" t="s">
        <v>133</v>
      </c>
      <c r="F1" s="59" t="s">
        <v>132</v>
      </c>
      <c r="G1" s="59" t="s">
        <v>131</v>
      </c>
      <c r="H1" s="59" t="s">
        <v>130</v>
      </c>
      <c r="I1" s="59"/>
    </row>
    <row r="2" spans="1:15" x14ac:dyDescent="0.3">
      <c r="A2" s="57" t="s">
        <v>129</v>
      </c>
      <c r="H2" s="55">
        <v>67</v>
      </c>
      <c r="I2" s="56"/>
    </row>
    <row r="3" spans="1:15" x14ac:dyDescent="0.3">
      <c r="A3" s="57" t="s">
        <v>123</v>
      </c>
      <c r="B3" s="57" t="s">
        <v>97</v>
      </c>
      <c r="C3" s="57" t="s">
        <v>122</v>
      </c>
      <c r="D3" s="57" t="s">
        <v>121</v>
      </c>
      <c r="E3" s="57" t="s">
        <v>128</v>
      </c>
      <c r="F3" s="57" t="s">
        <v>93</v>
      </c>
      <c r="G3" s="57" t="s">
        <v>92</v>
      </c>
      <c r="H3" s="56">
        <v>6314.88</v>
      </c>
      <c r="I3" s="56"/>
    </row>
    <row r="4" spans="1:15" x14ac:dyDescent="0.3">
      <c r="A4" s="57" t="s">
        <v>123</v>
      </c>
      <c r="B4" s="57" t="s">
        <v>97</v>
      </c>
      <c r="C4" s="57" t="s">
        <v>122</v>
      </c>
      <c r="D4" s="57" t="s">
        <v>121</v>
      </c>
      <c r="E4" s="57" t="s">
        <v>127</v>
      </c>
      <c r="F4" s="57" t="s">
        <v>93</v>
      </c>
      <c r="G4" s="57" t="s">
        <v>92</v>
      </c>
      <c r="H4" s="56">
        <v>6314.88</v>
      </c>
      <c r="I4" s="56"/>
    </row>
    <row r="5" spans="1:15" x14ac:dyDescent="0.3">
      <c r="A5" s="57" t="s">
        <v>123</v>
      </c>
      <c r="B5" s="57" t="s">
        <v>97</v>
      </c>
      <c r="C5" s="57" t="s">
        <v>122</v>
      </c>
      <c r="D5" s="57" t="s">
        <v>121</v>
      </c>
      <c r="E5" s="57" t="s">
        <v>126</v>
      </c>
      <c r="F5" s="57" t="s">
        <v>93</v>
      </c>
      <c r="G5" s="57" t="s">
        <v>92</v>
      </c>
      <c r="H5" s="56">
        <v>6314.88</v>
      </c>
      <c r="I5" s="56"/>
    </row>
    <row r="6" spans="1:15" x14ac:dyDescent="0.3">
      <c r="A6" s="57" t="s">
        <v>123</v>
      </c>
      <c r="B6" s="57" t="s">
        <v>97</v>
      </c>
      <c r="C6" s="57" t="s">
        <v>122</v>
      </c>
      <c r="D6" s="57" t="s">
        <v>121</v>
      </c>
      <c r="E6" s="57" t="s">
        <v>125</v>
      </c>
      <c r="F6" s="57" t="s">
        <v>93</v>
      </c>
      <c r="G6" s="57" t="s">
        <v>92</v>
      </c>
      <c r="H6" s="56">
        <v>6314.88</v>
      </c>
      <c r="I6" s="56"/>
    </row>
    <row r="7" spans="1:15" x14ac:dyDescent="0.3">
      <c r="A7" s="57" t="s">
        <v>123</v>
      </c>
      <c r="B7" s="57" t="s">
        <v>97</v>
      </c>
      <c r="C7" s="57" t="s">
        <v>122</v>
      </c>
      <c r="D7" s="57" t="s">
        <v>121</v>
      </c>
      <c r="E7" s="57" t="s">
        <v>124</v>
      </c>
      <c r="F7" s="57" t="s">
        <v>93</v>
      </c>
      <c r="G7" s="57" t="s">
        <v>92</v>
      </c>
      <c r="H7" s="56">
        <v>6314.88</v>
      </c>
      <c r="I7" s="56"/>
    </row>
    <row r="8" spans="1:15" x14ac:dyDescent="0.3">
      <c r="A8" s="119">
        <v>45614</v>
      </c>
      <c r="B8" s="88" t="s">
        <v>97</v>
      </c>
      <c r="C8" s="88" t="s">
        <v>122</v>
      </c>
      <c r="D8" s="88" t="s">
        <v>121</v>
      </c>
      <c r="E8" s="88" t="s">
        <v>124</v>
      </c>
      <c r="F8" s="88" t="s">
        <v>93</v>
      </c>
      <c r="G8" s="88" t="s">
        <v>92</v>
      </c>
      <c r="H8" s="89">
        <f>I8*0.33*-1</f>
        <v>-6660.72</v>
      </c>
      <c r="I8" s="120">
        <f>'Excess worksheet 11-26-2024'!I14*24</f>
        <v>20184</v>
      </c>
      <c r="J8" s="87" t="s">
        <v>204</v>
      </c>
    </row>
    <row r="9" spans="1:15" x14ac:dyDescent="0.3">
      <c r="A9" s="57"/>
      <c r="B9" s="57"/>
      <c r="C9" s="57"/>
      <c r="D9" s="57"/>
      <c r="E9" s="57"/>
      <c r="F9" s="57"/>
      <c r="G9" s="57"/>
      <c r="H9" s="56">
        <f>SUM(H2:H8)</f>
        <v>24980.68</v>
      </c>
      <c r="I9" s="56"/>
    </row>
    <row r="10" spans="1:15" x14ac:dyDescent="0.3">
      <c r="A10" s="57"/>
      <c r="B10" s="57"/>
      <c r="C10" s="57"/>
      <c r="D10" s="57"/>
      <c r="E10" s="57"/>
      <c r="F10" s="57"/>
      <c r="G10" s="57"/>
      <c r="H10" s="56"/>
      <c r="I10" s="56"/>
    </row>
    <row r="11" spans="1:15" x14ac:dyDescent="0.3">
      <c r="A11" s="57" t="s">
        <v>123</v>
      </c>
      <c r="B11" s="57" t="s">
        <v>97</v>
      </c>
      <c r="C11" s="57" t="s">
        <v>122</v>
      </c>
      <c r="D11" s="57" t="s">
        <v>121</v>
      </c>
      <c r="E11" s="57" t="s">
        <v>120</v>
      </c>
      <c r="F11" s="57" t="s">
        <v>93</v>
      </c>
      <c r="G11" s="57" t="s">
        <v>92</v>
      </c>
      <c r="H11" s="56">
        <v>6679.2</v>
      </c>
      <c r="I11" s="56"/>
    </row>
    <row r="12" spans="1:15" x14ac:dyDescent="0.3">
      <c r="A12" s="119">
        <v>45614</v>
      </c>
      <c r="B12" s="88" t="s">
        <v>97</v>
      </c>
      <c r="C12" s="88" t="s">
        <v>122</v>
      </c>
      <c r="D12" s="88" t="s">
        <v>121</v>
      </c>
      <c r="E12" s="88" t="s">
        <v>120</v>
      </c>
      <c r="F12" s="88" t="s">
        <v>93</v>
      </c>
      <c r="G12" s="88" t="s">
        <v>92</v>
      </c>
      <c r="H12" s="89">
        <f>I12*0.07*-1</f>
        <v>-353.22</v>
      </c>
      <c r="I12" s="120">
        <v>5046</v>
      </c>
      <c r="J12" s="87" t="s">
        <v>204</v>
      </c>
    </row>
    <row r="13" spans="1:15" x14ac:dyDescent="0.3">
      <c r="A13" s="119"/>
      <c r="B13" s="88"/>
      <c r="C13" s="88"/>
      <c r="D13" s="88"/>
      <c r="E13" s="88"/>
      <c r="F13" s="88"/>
      <c r="G13" s="88"/>
      <c r="H13" s="56">
        <f>SUM(H11:H12)</f>
        <v>6325.98</v>
      </c>
      <c r="I13" s="120"/>
      <c r="J13" s="87"/>
    </row>
    <row r="14" spans="1:15" x14ac:dyDescent="0.3">
      <c r="A14" s="57"/>
      <c r="B14" s="57"/>
      <c r="C14" s="57"/>
      <c r="D14" s="57"/>
      <c r="E14" s="57"/>
      <c r="F14" s="57"/>
      <c r="G14" s="57"/>
      <c r="H14" s="56"/>
      <c r="I14" s="56"/>
    </row>
    <row r="15" spans="1:15" x14ac:dyDescent="0.3">
      <c r="A15" s="57" t="s">
        <v>114</v>
      </c>
      <c r="B15" s="57" t="s">
        <v>97</v>
      </c>
      <c r="C15" s="57">
        <v>26331</v>
      </c>
      <c r="D15" s="57" t="s">
        <v>113</v>
      </c>
      <c r="E15" s="57" t="s">
        <v>119</v>
      </c>
      <c r="F15" s="57" t="s">
        <v>93</v>
      </c>
      <c r="G15" s="57" t="s">
        <v>92</v>
      </c>
      <c r="H15" s="56">
        <v>2620.8000000000002</v>
      </c>
      <c r="I15" s="56"/>
      <c r="J15" s="55">
        <f>390</f>
        <v>390</v>
      </c>
      <c r="K15" s="55">
        <f>J15*128</f>
        <v>49920</v>
      </c>
      <c r="L15" s="55">
        <f>K15*6</f>
        <v>299520</v>
      </c>
      <c r="M15" s="55">
        <f>L15/12</f>
        <v>24960</v>
      </c>
      <c r="N15" s="55">
        <f>M15/24</f>
        <v>1040</v>
      </c>
      <c r="O15" s="55">
        <f>H15/M15</f>
        <v>0.10500000000000001</v>
      </c>
    </row>
    <row r="16" spans="1:15" x14ac:dyDescent="0.3">
      <c r="A16" s="57" t="s">
        <v>114</v>
      </c>
      <c r="B16" s="57" t="s">
        <v>97</v>
      </c>
      <c r="C16" s="57">
        <v>26331</v>
      </c>
      <c r="D16" s="57" t="s">
        <v>113</v>
      </c>
      <c r="E16" s="57" t="s">
        <v>117</v>
      </c>
      <c r="F16" s="57" t="s">
        <v>93</v>
      </c>
      <c r="G16" s="57" t="s">
        <v>92</v>
      </c>
      <c r="H16" s="56">
        <v>2706.6</v>
      </c>
      <c r="I16" s="56"/>
    </row>
    <row r="17" spans="1:15" ht="21.6" x14ac:dyDescent="0.3">
      <c r="A17" s="57" t="s">
        <v>114</v>
      </c>
      <c r="B17" s="57" t="s">
        <v>97</v>
      </c>
      <c r="C17" s="57">
        <v>26331</v>
      </c>
      <c r="D17" s="57" t="s">
        <v>113</v>
      </c>
      <c r="E17" s="57" t="s">
        <v>116</v>
      </c>
      <c r="F17" s="57" t="s">
        <v>93</v>
      </c>
      <c r="G17" s="57" t="s">
        <v>92</v>
      </c>
      <c r="H17" s="56">
        <v>2730</v>
      </c>
      <c r="I17" s="56"/>
    </row>
    <row r="18" spans="1:15" x14ac:dyDescent="0.3">
      <c r="A18" s="57" t="s">
        <v>114</v>
      </c>
      <c r="B18" s="57" t="s">
        <v>97</v>
      </c>
      <c r="C18" s="57">
        <v>26331</v>
      </c>
      <c r="D18" s="57" t="s">
        <v>113</v>
      </c>
      <c r="E18" s="57" t="s">
        <v>115</v>
      </c>
      <c r="F18" s="57" t="s">
        <v>93</v>
      </c>
      <c r="G18" s="57" t="s">
        <v>92</v>
      </c>
      <c r="H18" s="56">
        <v>2901.6</v>
      </c>
      <c r="I18" s="56"/>
      <c r="M18" s="55" t="s">
        <v>277</v>
      </c>
    </row>
    <row r="19" spans="1:15" x14ac:dyDescent="0.3">
      <c r="A19" s="57" t="s">
        <v>114</v>
      </c>
      <c r="B19" s="57" t="s">
        <v>97</v>
      </c>
      <c r="C19" s="57">
        <v>26331</v>
      </c>
      <c r="D19" s="57" t="s">
        <v>113</v>
      </c>
      <c r="E19" s="57" t="s">
        <v>112</v>
      </c>
      <c r="F19" s="57" t="s">
        <v>93</v>
      </c>
      <c r="G19" s="57" t="s">
        <v>92</v>
      </c>
      <c r="H19" s="56">
        <v>2901.6</v>
      </c>
      <c r="I19" s="56"/>
      <c r="J19" s="55">
        <v>390</v>
      </c>
      <c r="K19" s="55">
        <f>J19*128</f>
        <v>49920</v>
      </c>
      <c r="L19" s="55">
        <f>K19*6</f>
        <v>299520</v>
      </c>
      <c r="M19" s="55">
        <f>L19/12</f>
        <v>24960</v>
      </c>
      <c r="N19" s="55">
        <f>M19/24</f>
        <v>1040</v>
      </c>
      <c r="O19" s="55">
        <f>H19/M22</f>
        <v>2.325E-2</v>
      </c>
    </row>
    <row r="20" spans="1:15" x14ac:dyDescent="0.3">
      <c r="A20" s="57"/>
      <c r="B20" s="57"/>
      <c r="C20" s="57"/>
      <c r="D20" s="57"/>
      <c r="E20" s="57"/>
      <c r="F20" s="57"/>
      <c r="G20" s="57"/>
      <c r="H20" s="56"/>
      <c r="I20" s="56"/>
      <c r="M20" s="55">
        <f>M19*5</f>
        <v>124800</v>
      </c>
    </row>
    <row r="21" spans="1:15" x14ac:dyDescent="0.3">
      <c r="A21" s="119">
        <v>45614</v>
      </c>
      <c r="B21" s="88" t="s">
        <v>97</v>
      </c>
      <c r="C21" s="88">
        <v>26331</v>
      </c>
      <c r="D21" s="88" t="s">
        <v>113</v>
      </c>
      <c r="E21" s="88" t="s">
        <v>112</v>
      </c>
      <c r="F21" s="88" t="s">
        <v>93</v>
      </c>
      <c r="G21" s="88" t="s">
        <v>92</v>
      </c>
      <c r="H21" s="89">
        <f>'Excess worksheet 11-26-2024'!N34*-1</f>
        <v>-3116.5574999999999</v>
      </c>
      <c r="I21" s="56">
        <f>'Excess worksheet 11-26-2024'!L34</f>
        <v>438.9375</v>
      </c>
      <c r="M21" s="55">
        <f>M19*0.05</f>
        <v>1248</v>
      </c>
    </row>
    <row r="22" spans="1:15" x14ac:dyDescent="0.3">
      <c r="A22" s="57"/>
      <c r="B22" s="57"/>
      <c r="C22" s="57"/>
      <c r="D22" s="57"/>
      <c r="E22" s="57"/>
      <c r="F22" s="57"/>
      <c r="G22" s="57"/>
      <c r="H22" s="56">
        <f>SUM(H15:H19)</f>
        <v>13860.6</v>
      </c>
      <c r="I22" s="56"/>
      <c r="J22" s="55">
        <f>390*5</f>
        <v>1950</v>
      </c>
      <c r="K22" s="55">
        <f>J22*128</f>
        <v>249600</v>
      </c>
      <c r="L22" s="55">
        <f>K22*6</f>
        <v>1497600</v>
      </c>
      <c r="M22" s="55">
        <f>L22/12</f>
        <v>124800</v>
      </c>
      <c r="N22" s="55">
        <f>M22/24</f>
        <v>5200</v>
      </c>
      <c r="O22" s="55">
        <f>H22/M22</f>
        <v>0.11106250000000001</v>
      </c>
    </row>
    <row r="23" spans="1:15" x14ac:dyDescent="0.3">
      <c r="A23" s="57"/>
      <c r="B23" s="57"/>
      <c r="C23" s="57"/>
      <c r="D23" s="57"/>
      <c r="E23" s="57"/>
      <c r="F23" s="57"/>
      <c r="G23" s="57"/>
      <c r="H23" s="56"/>
      <c r="I23" s="56"/>
    </row>
    <row r="24" spans="1:15" ht="21.6" x14ac:dyDescent="0.3">
      <c r="A24" s="57" t="s">
        <v>111</v>
      </c>
      <c r="B24" s="57" t="s">
        <v>97</v>
      </c>
      <c r="C24" s="57">
        <v>120675481</v>
      </c>
      <c r="D24" s="57" t="s">
        <v>108</v>
      </c>
      <c r="E24" s="57" t="s">
        <v>110</v>
      </c>
      <c r="F24" s="57" t="s">
        <v>93</v>
      </c>
      <c r="G24" s="57" t="s">
        <v>92</v>
      </c>
      <c r="H24" s="56">
        <v>2775</v>
      </c>
      <c r="I24" s="56"/>
    </row>
    <row r="25" spans="1:15" x14ac:dyDescent="0.3">
      <c r="A25" s="57" t="s">
        <v>107</v>
      </c>
      <c r="B25" s="57" t="s">
        <v>97</v>
      </c>
      <c r="C25" s="57">
        <v>120830631</v>
      </c>
      <c r="D25" s="57" t="s">
        <v>108</v>
      </c>
      <c r="E25" s="57"/>
      <c r="F25" s="57" t="s">
        <v>93</v>
      </c>
      <c r="G25" s="57" t="s">
        <v>92</v>
      </c>
      <c r="H25" s="56">
        <v>276</v>
      </c>
      <c r="I25" s="56"/>
    </row>
    <row r="26" spans="1:15" x14ac:dyDescent="0.3">
      <c r="A26" s="57" t="s">
        <v>109</v>
      </c>
      <c r="B26" s="57" t="s">
        <v>97</v>
      </c>
      <c r="C26" s="57">
        <v>120883663</v>
      </c>
      <c r="D26" s="57" t="s">
        <v>108</v>
      </c>
      <c r="E26" s="57"/>
      <c r="F26" s="57" t="s">
        <v>93</v>
      </c>
      <c r="G26" s="57" t="s">
        <v>92</v>
      </c>
      <c r="H26" s="56">
        <v>1995</v>
      </c>
      <c r="I26" s="56"/>
      <c r="K26" s="55">
        <f>J19*5</f>
        <v>1950</v>
      </c>
    </row>
    <row r="27" spans="1:15" x14ac:dyDescent="0.3">
      <c r="A27" s="57" t="s">
        <v>109</v>
      </c>
      <c r="B27" s="57" t="s">
        <v>97</v>
      </c>
      <c r="C27" s="57">
        <v>120883663</v>
      </c>
      <c r="D27" s="57" t="s">
        <v>108</v>
      </c>
      <c r="E27" s="57"/>
      <c r="F27" s="57" t="s">
        <v>93</v>
      </c>
      <c r="G27" s="57" t="s">
        <v>92</v>
      </c>
      <c r="H27" s="56">
        <v>1995</v>
      </c>
      <c r="I27" s="56"/>
      <c r="K27" s="55">
        <f>K26*128*6</f>
        <v>1497600</v>
      </c>
    </row>
    <row r="28" spans="1:15" x14ac:dyDescent="0.3">
      <c r="A28" s="57" t="s">
        <v>114</v>
      </c>
      <c r="B28" s="57" t="s">
        <v>97</v>
      </c>
      <c r="C28" s="57">
        <v>26331</v>
      </c>
      <c r="D28" s="57" t="s">
        <v>113</v>
      </c>
      <c r="E28" s="57" t="s">
        <v>118</v>
      </c>
      <c r="F28" s="57" t="s">
        <v>93</v>
      </c>
      <c r="G28" s="57" t="s">
        <v>92</v>
      </c>
      <c r="H28" s="56"/>
      <c r="I28" s="56"/>
      <c r="K28" s="55">
        <f>K27/12</f>
        <v>124800</v>
      </c>
    </row>
    <row r="29" spans="1:15" x14ac:dyDescent="0.3">
      <c r="A29" s="57"/>
      <c r="B29" s="57"/>
      <c r="C29" s="57"/>
      <c r="D29" s="57"/>
      <c r="E29" s="57"/>
      <c r="F29" s="57"/>
      <c r="G29" s="57"/>
      <c r="H29" s="56">
        <f>SUM(H24:H28)</f>
        <v>7041</v>
      </c>
      <c r="I29" s="56"/>
      <c r="K29" s="55">
        <f>K28/24</f>
        <v>5200</v>
      </c>
    </row>
    <row r="30" spans="1:15" x14ac:dyDescent="0.3">
      <c r="A30" s="57"/>
      <c r="B30" s="57"/>
      <c r="C30" s="57"/>
      <c r="D30" s="57"/>
      <c r="E30" s="57"/>
      <c r="F30" s="57"/>
      <c r="G30" s="57"/>
      <c r="H30" s="56"/>
      <c r="I30" s="56"/>
    </row>
    <row r="31" spans="1:15" x14ac:dyDescent="0.3">
      <c r="A31" s="57" t="s">
        <v>107</v>
      </c>
      <c r="B31" s="57" t="s">
        <v>106</v>
      </c>
      <c r="C31" s="57" t="s">
        <v>105</v>
      </c>
      <c r="D31" s="57" t="s">
        <v>104</v>
      </c>
      <c r="E31" s="57" t="s">
        <v>103</v>
      </c>
      <c r="F31" s="57" t="s">
        <v>93</v>
      </c>
      <c r="G31" s="57" t="s">
        <v>102</v>
      </c>
      <c r="H31" s="56">
        <v>1811</v>
      </c>
      <c r="I31" s="56"/>
    </row>
    <row r="32" spans="1:15" x14ac:dyDescent="0.3">
      <c r="A32" s="57"/>
      <c r="B32" s="57"/>
      <c r="C32" s="57"/>
      <c r="D32" s="57"/>
      <c r="E32" s="57"/>
      <c r="F32" s="57"/>
      <c r="G32" s="57"/>
      <c r="H32" s="56"/>
      <c r="I32" s="56"/>
    </row>
    <row r="33" spans="1:19" x14ac:dyDescent="0.3">
      <c r="A33" s="57" t="s">
        <v>101</v>
      </c>
      <c r="B33" s="57" t="s">
        <v>97</v>
      </c>
      <c r="C33" s="57" t="s">
        <v>100</v>
      </c>
      <c r="D33" s="57" t="s">
        <v>99</v>
      </c>
      <c r="E33" s="57" t="s">
        <v>99</v>
      </c>
      <c r="F33" s="57" t="s">
        <v>93</v>
      </c>
      <c r="G33" s="57" t="s">
        <v>92</v>
      </c>
      <c r="H33" s="56"/>
      <c r="I33" s="55" t="s">
        <v>251</v>
      </c>
    </row>
    <row r="34" spans="1:19" x14ac:dyDescent="0.3">
      <c r="A34" s="57"/>
      <c r="B34" s="57"/>
      <c r="C34" s="57"/>
      <c r="D34" s="57"/>
      <c r="E34" s="57"/>
      <c r="F34" s="57"/>
      <c r="G34" s="57"/>
      <c r="H34" s="56"/>
    </row>
    <row r="35" spans="1:19" x14ac:dyDescent="0.3">
      <c r="G35" s="87" t="s">
        <v>238</v>
      </c>
      <c r="H35" s="143"/>
      <c r="I35" s="55">
        <f>280*6</f>
        <v>1680</v>
      </c>
    </row>
    <row r="37" spans="1:19" x14ac:dyDescent="0.3">
      <c r="G37" s="65" t="s">
        <v>138</v>
      </c>
      <c r="H37" s="66">
        <f>H33+H31+H29+H22+H13+H9</f>
        <v>54019.259999999995</v>
      </c>
    </row>
    <row r="38" spans="1:19" x14ac:dyDescent="0.3">
      <c r="H38" s="60"/>
    </row>
    <row r="39" spans="1:19" x14ac:dyDescent="0.3">
      <c r="H39" s="60"/>
    </row>
    <row r="40" spans="1:19" ht="21.6" x14ac:dyDescent="0.3">
      <c r="A40" s="57" t="s">
        <v>98</v>
      </c>
      <c r="B40" s="57" t="s">
        <v>97</v>
      </c>
      <c r="C40" s="57" t="s">
        <v>96</v>
      </c>
      <c r="D40" s="57" t="s">
        <v>95</v>
      </c>
      <c r="E40" s="57" t="s">
        <v>94</v>
      </c>
      <c r="F40" s="57" t="s">
        <v>93</v>
      </c>
      <c r="G40" s="57" t="s">
        <v>92</v>
      </c>
      <c r="H40" s="56">
        <v>4200</v>
      </c>
      <c r="I40" s="122" t="s">
        <v>140</v>
      </c>
    </row>
    <row r="42" spans="1:19" ht="15" thickBot="1" x14ac:dyDescent="0.35"/>
    <row r="43" spans="1:19" x14ac:dyDescent="0.3">
      <c r="F43" s="142" t="s">
        <v>237</v>
      </c>
      <c r="G43" s="372">
        <v>45614</v>
      </c>
      <c r="H43" s="373"/>
      <c r="I43" s="117" t="s">
        <v>178</v>
      </c>
      <c r="J43" s="372">
        <f>'05-10-2024 Production Run'!G44</f>
        <v>45422</v>
      </c>
      <c r="K43" s="373"/>
      <c r="L43" s="117" t="s">
        <v>178</v>
      </c>
      <c r="M43" s="372">
        <v>45314</v>
      </c>
      <c r="N43" s="373"/>
      <c r="Q43" s="75" t="s">
        <v>245</v>
      </c>
    </row>
    <row r="44" spans="1:19" x14ac:dyDescent="0.3">
      <c r="F44" s="85" t="s">
        <v>239</v>
      </c>
      <c r="G44" s="90" t="s">
        <v>141</v>
      </c>
      <c r="H44" s="91">
        <f>(4029.5*24)+R50</f>
        <v>101268</v>
      </c>
      <c r="J44" s="90" t="str">
        <f>'05-10-2024 Production Run'!G45</f>
        <v>Finished Cans</v>
      </c>
      <c r="K44" s="91">
        <f>'05-10-2024 Production Run'!H45</f>
        <v>158683</v>
      </c>
      <c r="M44" s="90" t="str">
        <f>'01-23-204 Production Run'!H30</f>
        <v>Finished Cans</v>
      </c>
      <c r="N44" s="91">
        <f>'01-23-204 Production Run'!I30</f>
        <v>65904</v>
      </c>
      <c r="Q44" s="55" t="s">
        <v>145</v>
      </c>
      <c r="R44" s="55">
        <v>70</v>
      </c>
      <c r="S44" s="55">
        <f>R44*24</f>
        <v>1680</v>
      </c>
    </row>
    <row r="45" spans="1:19" x14ac:dyDescent="0.3">
      <c r="G45" s="90"/>
      <c r="H45" s="92"/>
      <c r="J45" s="90"/>
      <c r="K45" s="92"/>
      <c r="M45" s="90">
        <f>'01-23-204 Production Run'!H31</f>
        <v>0</v>
      </c>
      <c r="N45" s="92">
        <f>'01-23-204 Production Run'!I31</f>
        <v>0</v>
      </c>
      <c r="Q45" s="55" t="s">
        <v>148</v>
      </c>
      <c r="R45" s="55">
        <v>36</v>
      </c>
      <c r="S45" s="55">
        <f t="shared" ref="S45:S48" si="0">R45*24</f>
        <v>864</v>
      </c>
    </row>
    <row r="46" spans="1:19" ht="15.6" x14ac:dyDescent="0.3">
      <c r="G46" s="93"/>
      <c r="H46" s="94" t="s">
        <v>3</v>
      </c>
      <c r="J46" s="93"/>
      <c r="K46" s="94" t="str">
        <f>'05-10-2024 Production Run'!H47</f>
        <v>Cost Per Can</v>
      </c>
      <c r="M46" s="93">
        <f>'01-23-204 Production Run'!H32</f>
        <v>0</v>
      </c>
      <c r="N46" s="94" t="str">
        <f>'01-23-204 Production Run'!I32</f>
        <v>Cost Per Can</v>
      </c>
      <c r="Q46" s="55" t="s">
        <v>223</v>
      </c>
      <c r="R46" s="55">
        <v>24</v>
      </c>
      <c r="S46" s="55">
        <f t="shared" si="0"/>
        <v>576</v>
      </c>
    </row>
    <row r="47" spans="1:19" ht="15.6" x14ac:dyDescent="0.3">
      <c r="F47" s="86">
        <f t="shared" ref="F47:F49" si="1">$H$44*I47</f>
        <v>-2305.8968607853353</v>
      </c>
      <c r="G47" s="95" t="s">
        <v>68</v>
      </c>
      <c r="H47" s="96">
        <f>H9/H44</f>
        <v>0.24667891140340484</v>
      </c>
      <c r="I47" s="67">
        <f>H47-K47</f>
        <v>-2.2770241940053476E-2</v>
      </c>
      <c r="J47" s="95" t="str">
        <f>'05-10-2024 Production Run'!G48</f>
        <v>Cans</v>
      </c>
      <c r="K47" s="96">
        <f>'05-10-2024 Production Run'!H48</f>
        <v>0.26944915334345831</v>
      </c>
      <c r="L47" s="67">
        <f>K47-N47</f>
        <v>-1.083884131543944E-2</v>
      </c>
      <c r="M47" s="95" t="str">
        <f>'01-23-204 Production Run'!H33</f>
        <v>Cans</v>
      </c>
      <c r="N47" s="96">
        <f>'01-23-204 Production Run'!I33</f>
        <v>0.28028799465889775</v>
      </c>
      <c r="Q47" s="55" t="s">
        <v>241</v>
      </c>
      <c r="R47" s="55">
        <v>24</v>
      </c>
      <c r="S47" s="55">
        <f t="shared" si="0"/>
        <v>576</v>
      </c>
    </row>
    <row r="48" spans="1:19" ht="15.6" x14ac:dyDescent="0.3">
      <c r="F48" s="86">
        <f t="shared" si="1"/>
        <v>900.37055009043206</v>
      </c>
      <c r="G48" s="95" t="s">
        <v>139</v>
      </c>
      <c r="H48" s="96">
        <f>H11/H44</f>
        <v>6.5955681952838019E-2</v>
      </c>
      <c r="I48" s="67">
        <f t="shared" ref="I48:I56" si="2">H48-K48</f>
        <v>8.8909680263304508E-3</v>
      </c>
      <c r="J48" s="95" t="str">
        <f>'05-10-2024 Production Run'!G49</f>
        <v>Lids</v>
      </c>
      <c r="K48" s="96">
        <f>'05-10-2024 Production Run'!H49</f>
        <v>5.7064713926507568E-2</v>
      </c>
      <c r="L48" s="67">
        <f t="shared" ref="L48:L56" si="3">K48-N48</f>
        <v>5.7064713926507568E-2</v>
      </c>
      <c r="M48" s="95" t="str">
        <f>'01-23-204 Production Run'!H34</f>
        <v>Lids</v>
      </c>
      <c r="N48" s="96">
        <f>'01-23-204 Production Run'!I34</f>
        <v>0</v>
      </c>
      <c r="Q48" s="55" t="s">
        <v>242</v>
      </c>
      <c r="R48" s="75">
        <v>36</v>
      </c>
      <c r="S48" s="75">
        <f t="shared" si="0"/>
        <v>864</v>
      </c>
    </row>
    <row r="49" spans="3:19" ht="17.399999999999999" x14ac:dyDescent="0.3">
      <c r="C49" s="140" t="s">
        <v>236</v>
      </c>
      <c r="D49" s="141">
        <f>H33-F49</f>
        <v>39800.334898886467</v>
      </c>
      <c r="E49" s="85" t="s">
        <v>181</v>
      </c>
      <c r="F49" s="86">
        <f t="shared" si="1"/>
        <v>-39800.334898886467</v>
      </c>
      <c r="G49" s="95" t="s">
        <v>0</v>
      </c>
      <c r="H49" s="97">
        <v>0</v>
      </c>
      <c r="I49" s="67">
        <f t="shared" si="2"/>
        <v>-0.39301985719957405</v>
      </c>
      <c r="J49" s="95" t="str">
        <f>'05-10-2024 Production Run'!G50</f>
        <v>Fill</v>
      </c>
      <c r="K49" s="97">
        <f>'05-10-2024 Production Run'!H50</f>
        <v>0.39301985719957405</v>
      </c>
      <c r="L49" s="67">
        <f t="shared" si="3"/>
        <v>-9.1281156093601656E-3</v>
      </c>
      <c r="M49" s="95" t="str">
        <f>'01-23-204 Production Run'!H35</f>
        <v>Fill</v>
      </c>
      <c r="N49" s="97">
        <f>'01-23-204 Production Run'!I35</f>
        <v>0.40214797280893422</v>
      </c>
      <c r="R49" s="55">
        <f>SUM(R44:R48)</f>
        <v>190</v>
      </c>
      <c r="S49" s="55">
        <f>SUM(S44:S48)</f>
        <v>4560</v>
      </c>
    </row>
    <row r="50" spans="3:19" ht="15.6" x14ac:dyDescent="0.3">
      <c r="F50" s="86">
        <f t="shared" ref="F50:F52" si="4">$H$44*I50</f>
        <v>4367.127849864195</v>
      </c>
      <c r="G50" s="95" t="s">
        <v>40</v>
      </c>
      <c r="H50" s="98">
        <f>H22/H44</f>
        <v>0.13687048228463089</v>
      </c>
      <c r="I50" s="67">
        <f t="shared" si="2"/>
        <v>4.3124460341511586E-2</v>
      </c>
      <c r="J50" s="95" t="str">
        <f>'05-10-2024 Production Run'!G51</f>
        <v>Raw Ingredients</v>
      </c>
      <c r="K50" s="98">
        <f>'05-10-2024 Production Run'!H51</f>
        <v>9.3746021943119304E-2</v>
      </c>
      <c r="L50" s="67">
        <f t="shared" si="3"/>
        <v>-9.1600846228767088E-2</v>
      </c>
      <c r="M50" s="95" t="str">
        <f>'01-23-204 Production Run'!H36</f>
        <v>Raw Ingredients</v>
      </c>
      <c r="N50" s="98">
        <f>'01-23-204 Production Run'!I36</f>
        <v>0.18534686817188639</v>
      </c>
      <c r="Q50" s="55" t="s">
        <v>243</v>
      </c>
      <c r="R50" s="55">
        <f>R49*24</f>
        <v>4560</v>
      </c>
    </row>
    <row r="51" spans="3:19" ht="15.6" x14ac:dyDescent="0.3">
      <c r="E51" s="85" t="s">
        <v>244</v>
      </c>
      <c r="F51" s="86">
        <f t="shared" si="4"/>
        <v>-1944.5462777991343</v>
      </c>
      <c r="G51" s="95" t="s">
        <v>69</v>
      </c>
      <c r="H51" s="98">
        <f>H29/H44</f>
        <v>6.9528380139826998E-2</v>
      </c>
      <c r="I51" s="67">
        <f t="shared" si="2"/>
        <v>-1.9201981650660963E-2</v>
      </c>
      <c r="J51" s="95" t="str">
        <f>'05-10-2024 Production Run'!G52</f>
        <v>Shipping</v>
      </c>
      <c r="K51" s="98">
        <f>'05-10-2024 Production Run'!H52</f>
        <v>8.873036179048796E-2</v>
      </c>
      <c r="L51" s="67">
        <f t="shared" si="3"/>
        <v>4.92790386538043E-2</v>
      </c>
      <c r="M51" s="95" t="str">
        <f>'01-23-204 Production Run'!H37</f>
        <v>Shipping</v>
      </c>
      <c r="N51" s="98">
        <f>'01-23-204 Production Run'!I37</f>
        <v>3.9451323136683661E-2</v>
      </c>
    </row>
    <row r="52" spans="3:19" ht="15.6" x14ac:dyDescent="0.3">
      <c r="F52" s="86">
        <f t="shared" si="4"/>
        <v>-646.94257733972756</v>
      </c>
      <c r="G52" s="95" t="s">
        <v>71</v>
      </c>
      <c r="H52" s="99">
        <f>H31/H44</f>
        <v>1.7883240510329027E-2</v>
      </c>
      <c r="I52" s="67">
        <f t="shared" si="2"/>
        <v>-6.3884206001869059E-3</v>
      </c>
      <c r="J52" s="95" t="str">
        <f>'05-10-2024 Production Run'!G53</f>
        <v>Cartons</v>
      </c>
      <c r="K52" s="99">
        <f>'05-10-2024 Production Run'!H53</f>
        <v>2.4271661110515933E-2</v>
      </c>
      <c r="L52" s="67">
        <f t="shared" si="3"/>
        <v>2.4271661110515933E-2</v>
      </c>
      <c r="M52" s="95" t="str">
        <f>'01-23-204 Production Run'!H38</f>
        <v>Cartons</v>
      </c>
      <c r="N52" s="99">
        <f>'01-23-204 Production Run'!I38</f>
        <v>0</v>
      </c>
    </row>
    <row r="53" spans="3:19" ht="15.6" x14ac:dyDescent="0.3">
      <c r="G53" s="95" t="s">
        <v>57</v>
      </c>
      <c r="H53" s="97">
        <f>SUM(H47:H52)</f>
        <v>0.53691669629102989</v>
      </c>
      <c r="I53" s="67">
        <f t="shared" si="2"/>
        <v>-0.38936507302263323</v>
      </c>
      <c r="J53" s="95" t="str">
        <f>'05-10-2024 Production Run'!G54</f>
        <v>Unit Cost</v>
      </c>
      <c r="K53" s="97">
        <f>'05-10-2024 Production Run'!H54</f>
        <v>0.92628176931366313</v>
      </c>
      <c r="L53" s="67">
        <f t="shared" si="3"/>
        <v>1.9047610537261117E-2</v>
      </c>
      <c r="M53" s="95" t="str">
        <f>'01-23-204 Production Run'!H39</f>
        <v>Unit Cost</v>
      </c>
      <c r="N53" s="97">
        <f>'01-23-204 Production Run'!I39</f>
        <v>0.90723415877640201</v>
      </c>
      <c r="Q53" s="55" t="s">
        <v>246</v>
      </c>
    </row>
    <row r="54" spans="3:19" ht="15.6" x14ac:dyDescent="0.3">
      <c r="G54" s="100" t="s">
        <v>41</v>
      </c>
      <c r="H54" s="121">
        <f>H53*24</f>
        <v>12.886000710984717</v>
      </c>
      <c r="I54" s="67">
        <f t="shared" si="2"/>
        <v>-9.3447617525431994</v>
      </c>
      <c r="J54" s="100" t="str">
        <f>'05-10-2024 Production Run'!G55</f>
        <v>Case Cost</v>
      </c>
      <c r="K54" s="101">
        <f>'05-10-2024 Production Run'!H55</f>
        <v>22.230762463527917</v>
      </c>
      <c r="L54" s="67">
        <f t="shared" si="3"/>
        <v>0.45714265289426947</v>
      </c>
      <c r="M54" s="100" t="str">
        <f>'01-23-204 Production Run'!H40</f>
        <v>Case Cost</v>
      </c>
      <c r="N54" s="101">
        <f>'01-23-204 Production Run'!I40</f>
        <v>21.773619810633647</v>
      </c>
      <c r="Q54" s="55" t="s">
        <v>247</v>
      </c>
    </row>
    <row r="55" spans="3:19" ht="15.6" x14ac:dyDescent="0.3">
      <c r="G55" s="95" t="s">
        <v>42</v>
      </c>
      <c r="H55" s="99">
        <v>28</v>
      </c>
      <c r="I55" s="67">
        <f t="shared" si="2"/>
        <v>0</v>
      </c>
      <c r="J55" s="95" t="str">
        <f>'05-10-2024 Production Run'!G56</f>
        <v>Case Price</v>
      </c>
      <c r="K55" s="99">
        <f>'05-10-2024 Production Run'!H56</f>
        <v>28</v>
      </c>
      <c r="L55" s="67">
        <f t="shared" si="3"/>
        <v>0</v>
      </c>
      <c r="M55" s="95" t="str">
        <f>'01-23-204 Production Run'!H41</f>
        <v>Case Price</v>
      </c>
      <c r="N55" s="99">
        <f>'01-23-204 Production Run'!I41</f>
        <v>28</v>
      </c>
      <c r="Q55" s="55" t="s">
        <v>248</v>
      </c>
    </row>
    <row r="56" spans="3:19" ht="16.2" thickBot="1" x14ac:dyDescent="0.35">
      <c r="E56" s="55">
        <f>792*24</f>
        <v>19008</v>
      </c>
      <c r="G56" s="102" t="s">
        <v>79</v>
      </c>
      <c r="H56" s="103">
        <f>H55-H54</f>
        <v>15.113999289015283</v>
      </c>
      <c r="I56" s="67">
        <f t="shared" si="2"/>
        <v>9.3447617525431994</v>
      </c>
      <c r="J56" s="102" t="str">
        <f>'05-10-2024 Production Run'!G57</f>
        <v>Case Margin</v>
      </c>
      <c r="K56" s="103">
        <f>'05-10-2024 Production Run'!H57</f>
        <v>5.7692375364720831</v>
      </c>
      <c r="L56" s="67">
        <f t="shared" si="3"/>
        <v>-0.45714265289426947</v>
      </c>
      <c r="M56" s="102" t="str">
        <f>'01-23-204 Production Run'!H42</f>
        <v>Case Margin</v>
      </c>
      <c r="N56" s="103">
        <f>'01-23-204 Production Run'!I42</f>
        <v>6.2263801893663526</v>
      </c>
      <c r="Q56" s="55" t="s">
        <v>249</v>
      </c>
    </row>
    <row r="57" spans="3:19" ht="15.6" x14ac:dyDescent="0.3">
      <c r="G57" s="68"/>
      <c r="H57"/>
      <c r="Q57" s="55" t="s">
        <v>250</v>
      </c>
    </row>
    <row r="58" spans="3:19" ht="15.6" x14ac:dyDescent="0.3">
      <c r="G58" s="68"/>
      <c r="H58" s="48"/>
    </row>
    <row r="59" spans="3:19" x14ac:dyDescent="0.3">
      <c r="G59" s="383">
        <v>45614</v>
      </c>
      <c r="H59" s="383"/>
    </row>
    <row r="60" spans="3:19" x14ac:dyDescent="0.3">
      <c r="G60" s="65" t="str">
        <f>G44</f>
        <v>Finished Cans</v>
      </c>
      <c r="H60" s="80">
        <v>121000</v>
      </c>
    </row>
    <row r="61" spans="3:19" x14ac:dyDescent="0.3">
      <c r="G61" s="65"/>
      <c r="H61" s="65"/>
    </row>
    <row r="62" spans="3:19" ht="15.6" x14ac:dyDescent="0.3">
      <c r="G62"/>
      <c r="H62" s="68" t="str">
        <f t="shared" ref="G62:H72" si="5">H46</f>
        <v>Cost Per Can</v>
      </c>
    </row>
    <row r="63" spans="3:19" ht="15.6" x14ac:dyDescent="0.3">
      <c r="G63" s="68" t="str">
        <f t="shared" si="5"/>
        <v>Cans</v>
      </c>
      <c r="H63" s="1">
        <v>0.26</v>
      </c>
    </row>
    <row r="64" spans="3:19" ht="15.6" x14ac:dyDescent="0.3">
      <c r="G64" s="68" t="str">
        <f t="shared" si="5"/>
        <v>Lids</v>
      </c>
      <c r="H64" s="1">
        <v>5.5E-2</v>
      </c>
    </row>
    <row r="65" spans="7:9" ht="15.6" x14ac:dyDescent="0.3">
      <c r="G65" s="83" t="str">
        <f t="shared" si="5"/>
        <v>Fill</v>
      </c>
      <c r="H65" s="53">
        <v>0.25</v>
      </c>
    </row>
    <row r="66" spans="7:9" ht="15.6" x14ac:dyDescent="0.3">
      <c r="G66" s="68" t="str">
        <f t="shared" si="5"/>
        <v>Raw Ingredients</v>
      </c>
      <c r="H66" s="63">
        <v>0.09</v>
      </c>
    </row>
    <row r="67" spans="7:9" ht="15.6" x14ac:dyDescent="0.3">
      <c r="G67" s="68" t="str">
        <f t="shared" si="5"/>
        <v>Shipping</v>
      </c>
      <c r="H67" s="64">
        <v>0.05</v>
      </c>
    </row>
    <row r="68" spans="7:9" ht="15.6" x14ac:dyDescent="0.3">
      <c r="G68" s="68" t="str">
        <f t="shared" si="5"/>
        <v>Cartons</v>
      </c>
      <c r="H68" s="28">
        <f t="shared" si="5"/>
        <v>1.7883240510329027E-2</v>
      </c>
    </row>
    <row r="69" spans="7:9" ht="15.6" x14ac:dyDescent="0.3">
      <c r="G69" s="68" t="str">
        <f t="shared" si="5"/>
        <v>Unit Cost</v>
      </c>
      <c r="H69" s="2">
        <f>SUM(H63:H68)</f>
        <v>0.72288324051032904</v>
      </c>
    </row>
    <row r="70" spans="7:9" ht="15.6" x14ac:dyDescent="0.3">
      <c r="G70" s="81" t="str">
        <f t="shared" si="5"/>
        <v>Case Cost</v>
      </c>
      <c r="H70" s="82">
        <f>H69*24</f>
        <v>17.349197772247898</v>
      </c>
      <c r="I70" s="65" t="s">
        <v>240</v>
      </c>
    </row>
    <row r="71" spans="7:9" ht="15.6" x14ac:dyDescent="0.3">
      <c r="G71" s="68" t="str">
        <f t="shared" si="5"/>
        <v>Case Price</v>
      </c>
      <c r="H71" s="28">
        <f t="shared" si="5"/>
        <v>28</v>
      </c>
    </row>
    <row r="72" spans="7:9" ht="15.6" x14ac:dyDescent="0.3">
      <c r="G72" s="68" t="str">
        <f t="shared" si="5"/>
        <v>Case Margin</v>
      </c>
      <c r="H72" s="2">
        <f t="shared" si="5"/>
        <v>15.113999289015283</v>
      </c>
    </row>
    <row r="75" spans="7:9" x14ac:dyDescent="0.3">
      <c r="G75" s="383">
        <v>45614</v>
      </c>
      <c r="H75" s="383"/>
    </row>
    <row r="76" spans="7:9" x14ac:dyDescent="0.3">
      <c r="G76" s="65" t="str">
        <f>G60</f>
        <v>Finished Cans</v>
      </c>
      <c r="H76" s="80">
        <f>H60</f>
        <v>121000</v>
      </c>
    </row>
    <row r="77" spans="7:9" x14ac:dyDescent="0.3">
      <c r="G77" s="65"/>
      <c r="H77" s="65"/>
    </row>
    <row r="78" spans="7:9" ht="15.6" x14ac:dyDescent="0.3">
      <c r="G78"/>
      <c r="H78" s="68" t="str">
        <f t="shared" ref="H78" si="6">H62</f>
        <v>Cost Per Can</v>
      </c>
    </row>
    <row r="79" spans="7:9" ht="15.6" x14ac:dyDescent="0.3">
      <c r="G79" s="68" t="str">
        <f t="shared" ref="G79" si="7">G63</f>
        <v>Cans</v>
      </c>
      <c r="H79" s="1">
        <f>K47</f>
        <v>0.26944915334345831</v>
      </c>
    </row>
    <row r="80" spans="7:9" ht="15.6" x14ac:dyDescent="0.3">
      <c r="G80" s="68" t="str">
        <f t="shared" ref="G80" si="8">G64</f>
        <v>Lids</v>
      </c>
      <c r="H80" s="1">
        <f t="shared" ref="H80:H87" si="9">K48</f>
        <v>5.7064713926507568E-2</v>
      </c>
    </row>
    <row r="81" spans="7:10" ht="15.6" x14ac:dyDescent="0.3">
      <c r="G81" s="83" t="str">
        <f t="shared" ref="G81" si="10">G65</f>
        <v>Fill</v>
      </c>
      <c r="H81" s="1">
        <f>H49</f>
        <v>0</v>
      </c>
    </row>
    <row r="82" spans="7:10" ht="15.6" x14ac:dyDescent="0.3">
      <c r="G82" s="68" t="str">
        <f t="shared" ref="G82" si="11">G66</f>
        <v>Raw Ingredients</v>
      </c>
      <c r="H82" s="1">
        <f t="shared" si="9"/>
        <v>9.3746021943119304E-2</v>
      </c>
    </row>
    <row r="83" spans="7:10" ht="15.6" x14ac:dyDescent="0.3">
      <c r="G83" s="68" t="str">
        <f t="shared" ref="G83" si="12">G67</f>
        <v>Shipping</v>
      </c>
      <c r="H83" s="1">
        <f t="shared" si="9"/>
        <v>8.873036179048796E-2</v>
      </c>
    </row>
    <row r="84" spans="7:10" ht="15.6" x14ac:dyDescent="0.3">
      <c r="G84" s="68" t="str">
        <f t="shared" ref="G84" si="13">G68</f>
        <v>Cartons</v>
      </c>
      <c r="H84" s="28">
        <f t="shared" si="9"/>
        <v>2.4271661110515933E-2</v>
      </c>
    </row>
    <row r="85" spans="7:10" ht="15.6" x14ac:dyDescent="0.3">
      <c r="G85" s="68" t="str">
        <f t="shared" ref="G85" si="14">G69</f>
        <v>Unit Cost</v>
      </c>
      <c r="H85" s="1">
        <f>SUM(H79:H84)</f>
        <v>0.53326191211408913</v>
      </c>
    </row>
    <row r="86" spans="7:10" ht="15.6" x14ac:dyDescent="0.3">
      <c r="G86" s="81" t="str">
        <f t="shared" ref="G86" si="15">G70</f>
        <v>Case Cost</v>
      </c>
      <c r="H86" s="1">
        <f>H85*24</f>
        <v>12.798285890738139</v>
      </c>
      <c r="I86" s="55" t="s">
        <v>177</v>
      </c>
    </row>
    <row r="87" spans="7:10" ht="15.6" x14ac:dyDescent="0.3">
      <c r="G87" s="68" t="str">
        <f t="shared" ref="G87" si="16">G71</f>
        <v>Case Price</v>
      </c>
      <c r="H87" s="28">
        <f t="shared" si="9"/>
        <v>28</v>
      </c>
    </row>
    <row r="88" spans="7:10" ht="15.6" x14ac:dyDescent="0.3">
      <c r="G88" s="68" t="str">
        <f t="shared" ref="G88" si="17">G72</f>
        <v>Case Margin</v>
      </c>
      <c r="H88" s="1">
        <f>H87-H86</f>
        <v>15.201714109261861</v>
      </c>
    </row>
    <row r="91" spans="7:10" x14ac:dyDescent="0.3">
      <c r="G91" s="383" t="s">
        <v>203</v>
      </c>
      <c r="H91" s="383"/>
    </row>
    <row r="92" spans="7:10" x14ac:dyDescent="0.3">
      <c r="G92" s="65"/>
      <c r="H92" s="80"/>
    </row>
    <row r="93" spans="7:10" x14ac:dyDescent="0.3">
      <c r="G93" s="65"/>
      <c r="H93" s="65"/>
    </row>
    <row r="94" spans="7:10" ht="15.6" x14ac:dyDescent="0.3">
      <c r="G94"/>
      <c r="H94" s="68" t="str">
        <f t="shared" ref="H94" si="18">H78</f>
        <v>Cost Per Can</v>
      </c>
    </row>
    <row r="95" spans="7:10" ht="15.6" x14ac:dyDescent="0.3">
      <c r="G95" s="68" t="str">
        <f t="shared" ref="G95:H96" si="19">G79</f>
        <v>Cans</v>
      </c>
      <c r="H95" s="1">
        <f>H79</f>
        <v>0.26944915334345831</v>
      </c>
      <c r="I95" s="67">
        <v>0.02</v>
      </c>
      <c r="J95" s="67">
        <f>H95-I95</f>
        <v>0.24944915334345832</v>
      </c>
    </row>
    <row r="96" spans="7:10" ht="15.6" x14ac:dyDescent="0.3">
      <c r="G96" s="68" t="str">
        <f t="shared" si="19"/>
        <v>Lids</v>
      </c>
      <c r="H96" s="1">
        <f t="shared" si="19"/>
        <v>5.7064713926507568E-2</v>
      </c>
      <c r="I96" s="67">
        <v>0.01</v>
      </c>
      <c r="J96" s="67">
        <f t="shared" ref="J96:J100" si="20">H96-I96</f>
        <v>4.7064713926507566E-2</v>
      </c>
    </row>
    <row r="97" spans="7:10" ht="15.6" x14ac:dyDescent="0.3">
      <c r="G97" s="83" t="str">
        <f t="shared" ref="G97:H100" si="21">G81</f>
        <v>Fill</v>
      </c>
      <c r="H97" s="1">
        <f t="shared" si="21"/>
        <v>0</v>
      </c>
      <c r="I97" s="67"/>
      <c r="J97" s="67">
        <f t="shared" si="20"/>
        <v>0</v>
      </c>
    </row>
    <row r="98" spans="7:10" ht="15.6" x14ac:dyDescent="0.3">
      <c r="G98" s="68" t="str">
        <f t="shared" si="21"/>
        <v>Raw Ingredients</v>
      </c>
      <c r="H98" s="1">
        <f t="shared" si="21"/>
        <v>9.3746021943119304E-2</v>
      </c>
      <c r="I98" s="67">
        <v>0.02</v>
      </c>
      <c r="J98" s="67">
        <f t="shared" si="20"/>
        <v>7.37460219431193E-2</v>
      </c>
    </row>
    <row r="99" spans="7:10" ht="15.6" x14ac:dyDescent="0.3">
      <c r="G99" s="68" t="str">
        <f t="shared" si="21"/>
        <v>Shipping</v>
      </c>
      <c r="H99" s="1">
        <f t="shared" si="21"/>
        <v>8.873036179048796E-2</v>
      </c>
      <c r="I99" s="67">
        <v>0.02</v>
      </c>
      <c r="J99" s="67">
        <f t="shared" si="20"/>
        <v>6.8730361790487957E-2</v>
      </c>
    </row>
    <row r="100" spans="7:10" ht="15.6" x14ac:dyDescent="0.3">
      <c r="G100" s="68" t="str">
        <f t="shared" si="21"/>
        <v>Cartons</v>
      </c>
      <c r="H100" s="28">
        <f t="shared" si="21"/>
        <v>2.4271661110515933E-2</v>
      </c>
      <c r="I100" s="118"/>
      <c r="J100" s="118">
        <f t="shared" si="20"/>
        <v>2.4271661110515933E-2</v>
      </c>
    </row>
    <row r="101" spans="7:10" ht="15.6" x14ac:dyDescent="0.3">
      <c r="G101" s="68" t="str">
        <f t="shared" ref="G101:I101" si="22">G85</f>
        <v>Unit Cost</v>
      </c>
      <c r="H101" s="1">
        <f t="shared" si="22"/>
        <v>0.53326191211408913</v>
      </c>
      <c r="I101" s="1">
        <f t="shared" si="22"/>
        <v>0</v>
      </c>
      <c r="J101" s="67">
        <f>SUM(J95:J100)</f>
        <v>0.46326191211408907</v>
      </c>
    </row>
    <row r="102" spans="7:10" ht="15.6" x14ac:dyDescent="0.3">
      <c r="G102" s="81" t="str">
        <f t="shared" ref="G102:H104" si="23">G86</f>
        <v>Case Cost</v>
      </c>
      <c r="H102" s="1">
        <f t="shared" si="23"/>
        <v>12.798285890738139</v>
      </c>
      <c r="J102" s="67">
        <f>J101*24</f>
        <v>11.118285890738138</v>
      </c>
    </row>
    <row r="103" spans="7:10" ht="15.6" x14ac:dyDescent="0.3">
      <c r="G103" s="68" t="str">
        <f t="shared" si="23"/>
        <v>Case Price</v>
      </c>
      <c r="H103" s="28">
        <f t="shared" si="23"/>
        <v>28</v>
      </c>
      <c r="J103" s="28">
        <v>28</v>
      </c>
    </row>
    <row r="104" spans="7:10" ht="15.6" x14ac:dyDescent="0.3">
      <c r="G104" s="68" t="str">
        <f t="shared" si="23"/>
        <v>Case Margin</v>
      </c>
      <c r="H104" s="1">
        <f t="shared" si="23"/>
        <v>15.201714109261861</v>
      </c>
      <c r="J104" s="1">
        <f>J103-J102</f>
        <v>16.881714109261864</v>
      </c>
    </row>
    <row r="107" spans="7:10" ht="15" thickBot="1" x14ac:dyDescent="0.35"/>
    <row r="108" spans="7:10" x14ac:dyDescent="0.3">
      <c r="G108" s="372" t="s">
        <v>631</v>
      </c>
      <c r="H108" s="373"/>
    </row>
    <row r="109" spans="7:10" x14ac:dyDescent="0.3">
      <c r="G109" s="90" t="s">
        <v>141</v>
      </c>
      <c r="H109" s="91">
        <f>4029.5*24+(280*6)</f>
        <v>98388</v>
      </c>
    </row>
    <row r="110" spans="7:10" x14ac:dyDescent="0.3">
      <c r="G110" s="90"/>
      <c r="H110" s="92"/>
    </row>
    <row r="111" spans="7:10" ht="15.6" x14ac:dyDescent="0.3">
      <c r="G111" s="93"/>
      <c r="H111" s="94" t="s">
        <v>3</v>
      </c>
    </row>
    <row r="112" spans="7:10" ht="15.6" x14ac:dyDescent="0.3">
      <c r="G112" s="95" t="s">
        <v>68</v>
      </c>
      <c r="H112" s="96">
        <f>H47</f>
        <v>0.24667891140340484</v>
      </c>
      <c r="I112" s="67">
        <f>H112*0.2</f>
        <v>4.9335782280680973E-2</v>
      </c>
    </row>
    <row r="113" spans="7:10" ht="15.6" x14ac:dyDescent="0.3">
      <c r="G113" s="95" t="s">
        <v>139</v>
      </c>
      <c r="H113" s="96">
        <f t="shared" ref="H113:H120" si="24">H48</f>
        <v>6.5955681952838019E-2</v>
      </c>
      <c r="I113" s="67">
        <f t="shared" ref="I113:I117" si="25">H113*0.2</f>
        <v>1.3191136390567605E-2</v>
      </c>
    </row>
    <row r="114" spans="7:10" ht="15.6" x14ac:dyDescent="0.3">
      <c r="G114" s="95" t="s">
        <v>0</v>
      </c>
      <c r="H114" s="96">
        <v>0.39</v>
      </c>
      <c r="I114" s="67">
        <f t="shared" si="25"/>
        <v>7.8000000000000014E-2</v>
      </c>
    </row>
    <row r="115" spans="7:10" ht="15.6" x14ac:dyDescent="0.3">
      <c r="G115" s="95" t="s">
        <v>40</v>
      </c>
      <c r="H115" s="96">
        <f t="shared" si="24"/>
        <v>0.13687048228463089</v>
      </c>
      <c r="I115" s="67">
        <f t="shared" si="25"/>
        <v>2.7374096456926178E-2</v>
      </c>
      <c r="J115" s="55">
        <v>7.0000000000000007E-2</v>
      </c>
    </row>
    <row r="116" spans="7:10" ht="15.6" x14ac:dyDescent="0.3">
      <c r="G116" s="95" t="s">
        <v>69</v>
      </c>
      <c r="H116" s="96">
        <f t="shared" si="24"/>
        <v>6.9528380139826998E-2</v>
      </c>
      <c r="I116" s="67">
        <f t="shared" si="25"/>
        <v>1.39056760279654E-2</v>
      </c>
    </row>
    <row r="117" spans="7:10" ht="15.6" x14ac:dyDescent="0.3">
      <c r="G117" s="95" t="s">
        <v>71</v>
      </c>
      <c r="H117" s="96">
        <f t="shared" si="24"/>
        <v>1.7883240510329027E-2</v>
      </c>
      <c r="I117" s="67">
        <f t="shared" si="25"/>
        <v>3.5766481020658054E-3</v>
      </c>
    </row>
    <row r="118" spans="7:10" ht="15.6" x14ac:dyDescent="0.3">
      <c r="G118" s="95" t="s">
        <v>57</v>
      </c>
      <c r="H118" s="96">
        <f>SUM(H112:H117)</f>
        <v>0.9269166962910298</v>
      </c>
      <c r="I118" s="96">
        <f>SUM(I112:I117)</f>
        <v>0.18538333925820599</v>
      </c>
      <c r="J118" s="67">
        <f>H118-I118</f>
        <v>0.74153335703282375</v>
      </c>
    </row>
    <row r="119" spans="7:10" ht="15.6" x14ac:dyDescent="0.3">
      <c r="G119" s="100" t="s">
        <v>41</v>
      </c>
      <c r="H119" s="96">
        <f>H118*24</f>
        <v>22.246000710984717</v>
      </c>
      <c r="J119" s="96">
        <f>J118*24</f>
        <v>17.79680056878777</v>
      </c>
    </row>
    <row r="120" spans="7:10" ht="15.6" x14ac:dyDescent="0.3">
      <c r="G120" s="95" t="s">
        <v>42</v>
      </c>
      <c r="H120" s="96">
        <f t="shared" si="24"/>
        <v>28</v>
      </c>
    </row>
    <row r="121" spans="7:10" ht="16.2" thickBot="1" x14ac:dyDescent="0.35">
      <c r="G121" s="102" t="s">
        <v>79</v>
      </c>
      <c r="H121" s="96">
        <f>H120-H119</f>
        <v>5.7539992890152831</v>
      </c>
    </row>
  </sheetData>
  <mergeCells count="7">
    <mergeCell ref="G108:H108"/>
    <mergeCell ref="M43:N43"/>
    <mergeCell ref="G91:H91"/>
    <mergeCell ref="G43:H43"/>
    <mergeCell ref="J43:K43"/>
    <mergeCell ref="G59:H59"/>
    <mergeCell ref="G75:H75"/>
  </mergeCells>
  <conditionalFormatting sqref="I47:I5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E1EA-8585-4794-BEB0-9857C18E00F1}">
  <dimension ref="A5:O34"/>
  <sheetViews>
    <sheetView workbookViewId="0">
      <selection activeCell="I13" sqref="I13"/>
    </sheetView>
  </sheetViews>
  <sheetFormatPr defaultColWidth="8.69921875" defaultRowHeight="14.4" x14ac:dyDescent="0.3"/>
  <cols>
    <col min="1" max="1" width="8.69921875" style="123"/>
    <col min="2" max="2" width="9.19921875" style="123" bestFit="1" customWidth="1"/>
    <col min="3" max="3" width="10.5" style="123" bestFit="1" customWidth="1"/>
    <col min="4" max="5" width="9.69921875" style="123" customWidth="1"/>
    <col min="6" max="6" width="13.69921875" style="123" bestFit="1" customWidth="1"/>
    <col min="7" max="7" width="12.59765625" style="123" bestFit="1" customWidth="1"/>
    <col min="8" max="8" width="12.69921875" style="123" customWidth="1"/>
    <col min="9" max="9" width="8.69921875" style="123" customWidth="1"/>
    <col min="10" max="10" width="14.69921875" style="123" customWidth="1"/>
    <col min="11" max="11" width="8.69921875" style="123"/>
    <col min="12" max="12" width="21.19921875" style="123" bestFit="1" customWidth="1"/>
    <col min="13" max="13" width="13.8984375" style="123" bestFit="1" customWidth="1"/>
    <col min="14" max="14" width="8.3984375" style="123" bestFit="1" customWidth="1"/>
    <col min="15" max="16384" width="8.69921875" style="123"/>
  </cols>
  <sheetData>
    <row r="5" spans="1:15" x14ac:dyDescent="0.3">
      <c r="E5" s="123" t="s">
        <v>205</v>
      </c>
    </row>
    <row r="6" spans="1:15" x14ac:dyDescent="0.3">
      <c r="B6" s="123" t="s">
        <v>58</v>
      </c>
    </row>
    <row r="7" spans="1:15" x14ac:dyDescent="0.3">
      <c r="B7" s="124">
        <v>45622</v>
      </c>
      <c r="C7" s="124"/>
      <c r="D7" s="124"/>
      <c r="E7" s="124"/>
      <c r="L7" s="123" t="s">
        <v>206</v>
      </c>
    </row>
    <row r="8" spans="1:15" x14ac:dyDescent="0.3">
      <c r="C8" s="125" t="s">
        <v>207</v>
      </c>
      <c r="D8" s="125" t="s">
        <v>208</v>
      </c>
      <c r="E8" s="125" t="s">
        <v>209</v>
      </c>
      <c r="F8" s="125" t="s">
        <v>210</v>
      </c>
      <c r="G8" s="125" t="s">
        <v>211</v>
      </c>
      <c r="H8" s="125" t="s">
        <v>212</v>
      </c>
      <c r="I8" s="125" t="s">
        <v>213</v>
      </c>
      <c r="J8" s="125" t="s">
        <v>68</v>
      </c>
      <c r="K8" s="125"/>
      <c r="L8" s="125" t="s">
        <v>139</v>
      </c>
      <c r="M8" s="125"/>
    </row>
    <row r="9" spans="1:15" x14ac:dyDescent="0.3">
      <c r="A9" s="123">
        <f>F9/C9</f>
        <v>0.79150197628458496</v>
      </c>
      <c r="B9" s="126" t="s">
        <v>214</v>
      </c>
      <c r="C9" s="123">
        <f>24288/24</f>
        <v>1012</v>
      </c>
      <c r="D9" s="123">
        <v>844</v>
      </c>
      <c r="E9" s="123">
        <f>D9*0.95</f>
        <v>801.8</v>
      </c>
      <c r="F9" s="123">
        <v>801</v>
      </c>
      <c r="G9" s="123">
        <f>8*96</f>
        <v>768</v>
      </c>
      <c r="H9" s="123">
        <f>F9-G9</f>
        <v>33</v>
      </c>
      <c r="I9" s="123">
        <f>(24288/24)-H9-F9</f>
        <v>178</v>
      </c>
      <c r="J9" s="123">
        <v>0.33</v>
      </c>
      <c r="L9" s="123">
        <v>7.0000000000000007E-2</v>
      </c>
    </row>
    <row r="10" spans="1:15" x14ac:dyDescent="0.3">
      <c r="B10" s="126" t="s">
        <v>144</v>
      </c>
      <c r="C10" s="123">
        <f t="shared" ref="C10:C13" si="0">24288/24</f>
        <v>1012</v>
      </c>
      <c r="D10" s="123">
        <v>844</v>
      </c>
      <c r="E10" s="123">
        <f t="shared" ref="E10:E13" si="1">D10*0.95</f>
        <v>801.8</v>
      </c>
      <c r="F10" s="123">
        <v>807</v>
      </c>
      <c r="G10" s="123">
        <f t="shared" ref="G10:G13" si="2">8*96</f>
        <v>768</v>
      </c>
      <c r="H10" s="123">
        <f>F10-G10</f>
        <v>39</v>
      </c>
      <c r="I10" s="123">
        <f>(24288/24)-H10-F10</f>
        <v>166</v>
      </c>
      <c r="J10" s="123">
        <v>0.33</v>
      </c>
      <c r="L10" s="123">
        <v>7.0000000000000007E-2</v>
      </c>
    </row>
    <row r="11" spans="1:15" x14ac:dyDescent="0.3">
      <c r="B11" s="126" t="s">
        <v>146</v>
      </c>
      <c r="C11" s="123">
        <f t="shared" si="0"/>
        <v>1012</v>
      </c>
      <c r="D11" s="123">
        <v>844</v>
      </c>
      <c r="E11" s="123">
        <f t="shared" si="1"/>
        <v>801.8</v>
      </c>
      <c r="F11" s="123">
        <v>792</v>
      </c>
      <c r="G11" s="123">
        <f t="shared" si="2"/>
        <v>768</v>
      </c>
      <c r="H11" s="123">
        <f>F11-G11</f>
        <v>24</v>
      </c>
      <c r="I11" s="123">
        <f>(24288/24)-H11-F11</f>
        <v>196</v>
      </c>
      <c r="J11" s="123">
        <v>0.33</v>
      </c>
      <c r="L11" s="123">
        <v>7.0000000000000007E-2</v>
      </c>
    </row>
    <row r="12" spans="1:15" x14ac:dyDescent="0.3">
      <c r="B12" s="126" t="s">
        <v>145</v>
      </c>
      <c r="C12" s="123">
        <f t="shared" si="0"/>
        <v>1012</v>
      </c>
      <c r="D12" s="123">
        <v>844</v>
      </c>
      <c r="E12" s="123">
        <f t="shared" si="1"/>
        <v>801.8</v>
      </c>
      <c r="F12" s="123">
        <v>837</v>
      </c>
      <c r="G12" s="123">
        <f t="shared" si="2"/>
        <v>768</v>
      </c>
      <c r="H12" s="123">
        <f>F12-G12</f>
        <v>69</v>
      </c>
      <c r="I12" s="123">
        <f>(24288/24)-H12-F12</f>
        <v>106</v>
      </c>
      <c r="J12" s="123">
        <v>0.33</v>
      </c>
      <c r="L12" s="123">
        <v>7.0000000000000007E-2</v>
      </c>
    </row>
    <row r="13" spans="1:15" x14ac:dyDescent="0.3">
      <c r="B13" s="126" t="s">
        <v>142</v>
      </c>
      <c r="C13" s="127">
        <f t="shared" si="0"/>
        <v>1012</v>
      </c>
      <c r="D13" s="127">
        <v>844</v>
      </c>
      <c r="E13" s="127">
        <f t="shared" si="1"/>
        <v>801.8</v>
      </c>
      <c r="F13" s="127">
        <v>792.5</v>
      </c>
      <c r="G13" s="127">
        <f t="shared" si="2"/>
        <v>768</v>
      </c>
      <c r="H13" s="127">
        <f>F13-G13</f>
        <v>24.5</v>
      </c>
      <c r="I13" s="127">
        <f>(24288/24)-H13-F13</f>
        <v>195</v>
      </c>
      <c r="J13" s="123">
        <v>0.33</v>
      </c>
      <c r="L13" s="123">
        <v>7.0000000000000007E-2</v>
      </c>
    </row>
    <row r="14" spans="1:15" x14ac:dyDescent="0.3">
      <c r="B14" s="126" t="s">
        <v>150</v>
      </c>
      <c r="C14" s="123">
        <f t="shared" ref="C14:I14" si="3">SUM(C9:C13)</f>
        <v>5060</v>
      </c>
      <c r="D14" s="123">
        <f t="shared" si="3"/>
        <v>4220</v>
      </c>
      <c r="E14" s="123">
        <f t="shared" si="3"/>
        <v>4009</v>
      </c>
      <c r="F14" s="123">
        <f t="shared" si="3"/>
        <v>4029.5</v>
      </c>
      <c r="G14" s="123">
        <f t="shared" si="3"/>
        <v>3840</v>
      </c>
      <c r="H14" s="123">
        <f t="shared" si="3"/>
        <v>189.5</v>
      </c>
      <c r="I14" s="123">
        <f t="shared" si="3"/>
        <v>841</v>
      </c>
      <c r="J14" s="123">
        <v>0.33</v>
      </c>
      <c r="K14" s="123">
        <f>I14*24*J14</f>
        <v>6660.72</v>
      </c>
      <c r="L14" s="123">
        <v>7.0000000000000007E-2</v>
      </c>
      <c r="M14" s="123">
        <f>I14*6*L14</f>
        <v>353.22</v>
      </c>
      <c r="N14" s="126">
        <f>(I14*J14*24)+(I14*L14*24)</f>
        <v>8073.6000000000013</v>
      </c>
      <c r="O14" s="126" t="s">
        <v>215</v>
      </c>
    </row>
    <row r="15" spans="1:15" x14ac:dyDescent="0.3">
      <c r="B15" s="126" t="s">
        <v>216</v>
      </c>
      <c r="C15" s="128">
        <f>C14/96</f>
        <v>52.708333333333336</v>
      </c>
      <c r="D15" s="128">
        <f>D14/96</f>
        <v>43.958333333333336</v>
      </c>
      <c r="E15" s="128">
        <f>E14/96</f>
        <v>41.760416666666664</v>
      </c>
      <c r="F15" s="128">
        <f t="shared" ref="F15:I15" si="4">F14/96</f>
        <v>41.973958333333336</v>
      </c>
      <c r="G15" s="128">
        <f t="shared" si="4"/>
        <v>40</v>
      </c>
      <c r="H15" s="128">
        <f t="shared" si="4"/>
        <v>1.9739583333333333</v>
      </c>
      <c r="I15" s="128">
        <f t="shared" si="4"/>
        <v>8.7604166666666661</v>
      </c>
    </row>
    <row r="16" spans="1:15" x14ac:dyDescent="0.3">
      <c r="N16" s="123">
        <v>83825.240000000005</v>
      </c>
      <c r="O16" s="123" t="s">
        <v>217</v>
      </c>
    </row>
    <row r="17" spans="2:15" x14ac:dyDescent="0.3">
      <c r="B17" s="129" t="s">
        <v>218</v>
      </c>
      <c r="N17" s="127">
        <f>N14</f>
        <v>8073.6000000000013</v>
      </c>
      <c r="O17" s="126" t="s">
        <v>215</v>
      </c>
    </row>
    <row r="18" spans="2:15" ht="15" thickBot="1" x14ac:dyDescent="0.35">
      <c r="B18" s="129" t="s">
        <v>219</v>
      </c>
      <c r="N18" s="123">
        <f>N16-N17</f>
        <v>75751.64</v>
      </c>
      <c r="O18" s="123" t="s">
        <v>220</v>
      </c>
    </row>
    <row r="19" spans="2:15" ht="15" thickBot="1" x14ac:dyDescent="0.35">
      <c r="B19" s="130" t="s">
        <v>221</v>
      </c>
      <c r="C19" s="131" t="s">
        <v>2</v>
      </c>
      <c r="D19" s="131" t="s">
        <v>222</v>
      </c>
      <c r="E19" s="131" t="s">
        <v>68</v>
      </c>
    </row>
    <row r="20" spans="2:15" ht="15" thickBot="1" x14ac:dyDescent="0.35">
      <c r="B20" s="132" t="s">
        <v>214</v>
      </c>
      <c r="C20" s="133">
        <v>1900</v>
      </c>
      <c r="D20" s="133">
        <v>844</v>
      </c>
      <c r="E20" s="133">
        <v>20256</v>
      </c>
    </row>
    <row r="21" spans="2:15" ht="29.4" thickBot="1" x14ac:dyDescent="0.35">
      <c r="B21" s="132" t="s">
        <v>223</v>
      </c>
      <c r="C21" s="133">
        <v>1900</v>
      </c>
      <c r="D21" s="133">
        <v>844</v>
      </c>
      <c r="E21" s="133">
        <v>20256</v>
      </c>
    </row>
    <row r="22" spans="2:15" ht="15" thickBot="1" x14ac:dyDescent="0.35">
      <c r="B22" s="132" t="s">
        <v>224</v>
      </c>
      <c r="C22" s="133">
        <v>1900</v>
      </c>
      <c r="D22" s="133">
        <v>844</v>
      </c>
      <c r="E22" s="133">
        <v>20256</v>
      </c>
    </row>
    <row r="23" spans="2:15" ht="29.4" thickBot="1" x14ac:dyDescent="0.35">
      <c r="B23" s="132" t="s">
        <v>225</v>
      </c>
      <c r="C23" s="133">
        <v>1500</v>
      </c>
      <c r="D23" s="133">
        <v>666</v>
      </c>
      <c r="E23" s="133">
        <v>15984</v>
      </c>
    </row>
    <row r="24" spans="2:15" ht="15" thickBot="1" x14ac:dyDescent="0.35">
      <c r="B24" s="132" t="s">
        <v>145</v>
      </c>
      <c r="C24" s="133">
        <v>1500</v>
      </c>
      <c r="D24" s="133">
        <v>666</v>
      </c>
      <c r="E24" s="133">
        <v>15984</v>
      </c>
    </row>
    <row r="25" spans="2:15" ht="15" thickBot="1" x14ac:dyDescent="0.35">
      <c r="B25" s="132" t="s">
        <v>142</v>
      </c>
      <c r="C25" s="133">
        <v>1500</v>
      </c>
      <c r="D25" s="133">
        <v>666</v>
      </c>
      <c r="E25" s="133">
        <v>15984</v>
      </c>
    </row>
    <row r="28" spans="2:15" x14ac:dyDescent="0.3">
      <c r="B28" s="134" t="s">
        <v>189</v>
      </c>
      <c r="C28" s="125" t="s">
        <v>226</v>
      </c>
      <c r="D28" s="125" t="s">
        <v>68</v>
      </c>
      <c r="E28" s="125" t="s">
        <v>227</v>
      </c>
      <c r="F28" s="125" t="s">
        <v>2</v>
      </c>
      <c r="G28" s="125" t="s">
        <v>228</v>
      </c>
      <c r="H28" s="125" t="s">
        <v>229</v>
      </c>
      <c r="I28" s="125" t="s">
        <v>230</v>
      </c>
      <c r="J28" s="135" t="s">
        <v>231</v>
      </c>
      <c r="K28" s="125" t="s">
        <v>232</v>
      </c>
      <c r="L28" s="125" t="s">
        <v>233</v>
      </c>
      <c r="M28" s="125" t="s">
        <v>234</v>
      </c>
      <c r="N28" s="135" t="s">
        <v>235</v>
      </c>
    </row>
    <row r="29" spans="2:15" ht="15.6" x14ac:dyDescent="0.3">
      <c r="B29" s="126" t="s">
        <v>214</v>
      </c>
      <c r="C29" s="123">
        <v>801</v>
      </c>
      <c r="D29" s="136">
        <f>C29*24</f>
        <v>19224</v>
      </c>
      <c r="E29" s="137">
        <f>D29*12</f>
        <v>230688</v>
      </c>
      <c r="F29" s="138">
        <f>E29/128</f>
        <v>1802.25</v>
      </c>
      <c r="G29" s="123">
        <v>390</v>
      </c>
      <c r="H29" s="123">
        <f>G29*128</f>
        <v>49920</v>
      </c>
      <c r="I29" s="123">
        <f>H29*6</f>
        <v>299520</v>
      </c>
      <c r="J29" s="123">
        <f>I29/128</f>
        <v>2340</v>
      </c>
      <c r="K29" s="138">
        <f>J29-F29</f>
        <v>537.75</v>
      </c>
      <c r="L29" s="138">
        <f>K29/6</f>
        <v>89.625</v>
      </c>
      <c r="M29" s="123">
        <v>6.72</v>
      </c>
      <c r="N29" s="138">
        <f>L29*M29</f>
        <v>602.28</v>
      </c>
    </row>
    <row r="30" spans="2:15" ht="15.6" x14ac:dyDescent="0.3">
      <c r="B30" s="126" t="s">
        <v>144</v>
      </c>
      <c r="C30" s="123">
        <v>807</v>
      </c>
      <c r="D30" s="136">
        <f t="shared" ref="D30:D33" si="5">C30*24</f>
        <v>19368</v>
      </c>
      <c r="E30" s="137">
        <f t="shared" ref="E30:E33" si="6">D30*12</f>
        <v>232416</v>
      </c>
      <c r="F30" s="138">
        <f t="shared" ref="F30:F33" si="7">E30/128</f>
        <v>1815.75</v>
      </c>
      <c r="G30" s="123">
        <v>390</v>
      </c>
      <c r="H30" s="123">
        <f t="shared" ref="H30:H33" si="8">G30*128</f>
        <v>49920</v>
      </c>
      <c r="I30" s="123">
        <f t="shared" ref="I30:I33" si="9">H30*6</f>
        <v>299520</v>
      </c>
      <c r="J30" s="123">
        <f t="shared" ref="J30:J33" si="10">I30/128</f>
        <v>2340</v>
      </c>
      <c r="K30" s="138">
        <f t="shared" ref="K30:K33" si="11">J30-F30</f>
        <v>524.25</v>
      </c>
      <c r="L30" s="138">
        <f t="shared" ref="L30:L33" si="12">K30/6</f>
        <v>87.375</v>
      </c>
      <c r="M30" s="123">
        <v>6.94</v>
      </c>
      <c r="N30" s="138">
        <f t="shared" ref="N30:N33" si="13">L30*M30</f>
        <v>606.38250000000005</v>
      </c>
    </row>
    <row r="31" spans="2:15" ht="15.6" x14ac:dyDescent="0.3">
      <c r="B31" s="126" t="s">
        <v>146</v>
      </c>
      <c r="C31" s="123">
        <v>792</v>
      </c>
      <c r="D31" s="136">
        <f t="shared" si="5"/>
        <v>19008</v>
      </c>
      <c r="E31" s="137">
        <f t="shared" si="6"/>
        <v>228096</v>
      </c>
      <c r="F31" s="138">
        <f t="shared" si="7"/>
        <v>1782</v>
      </c>
      <c r="G31" s="123">
        <v>390</v>
      </c>
      <c r="H31" s="123">
        <f t="shared" si="8"/>
        <v>49920</v>
      </c>
      <c r="I31" s="123">
        <f t="shared" si="9"/>
        <v>299520</v>
      </c>
      <c r="J31" s="123">
        <f t="shared" si="10"/>
        <v>2340</v>
      </c>
      <c r="K31" s="138">
        <f t="shared" si="11"/>
        <v>558</v>
      </c>
      <c r="L31" s="138">
        <f t="shared" si="12"/>
        <v>93</v>
      </c>
      <c r="M31" s="123">
        <v>7</v>
      </c>
      <c r="N31" s="138">
        <f t="shared" si="13"/>
        <v>651</v>
      </c>
    </row>
    <row r="32" spans="2:15" ht="15.6" x14ac:dyDescent="0.3">
      <c r="B32" s="126" t="s">
        <v>145</v>
      </c>
      <c r="C32" s="123">
        <v>837</v>
      </c>
      <c r="D32" s="136">
        <f t="shared" si="5"/>
        <v>20088</v>
      </c>
      <c r="E32" s="137">
        <f t="shared" si="6"/>
        <v>241056</v>
      </c>
      <c r="F32" s="138">
        <f t="shared" si="7"/>
        <v>1883.25</v>
      </c>
      <c r="G32" s="123">
        <v>390</v>
      </c>
      <c r="H32" s="123">
        <f t="shared" si="8"/>
        <v>49920</v>
      </c>
      <c r="I32" s="123">
        <f t="shared" si="9"/>
        <v>299520</v>
      </c>
      <c r="J32" s="123">
        <f t="shared" si="10"/>
        <v>2340</v>
      </c>
      <c r="K32" s="138">
        <f t="shared" si="11"/>
        <v>456.75</v>
      </c>
      <c r="L32" s="138">
        <f t="shared" si="12"/>
        <v>76.125</v>
      </c>
      <c r="M32" s="123">
        <v>7.44</v>
      </c>
      <c r="N32" s="138">
        <f t="shared" si="13"/>
        <v>566.37</v>
      </c>
    </row>
    <row r="33" spans="2:14" ht="15.6" x14ac:dyDescent="0.3">
      <c r="B33" s="126" t="s">
        <v>142</v>
      </c>
      <c r="C33" s="127">
        <v>792.5</v>
      </c>
      <c r="D33" s="136">
        <f t="shared" si="5"/>
        <v>19020</v>
      </c>
      <c r="E33" s="137">
        <f t="shared" si="6"/>
        <v>228240</v>
      </c>
      <c r="F33" s="138">
        <f t="shared" si="7"/>
        <v>1783.125</v>
      </c>
      <c r="G33" s="123">
        <v>390</v>
      </c>
      <c r="H33" s="123">
        <f t="shared" si="8"/>
        <v>49920</v>
      </c>
      <c r="I33" s="123">
        <f t="shared" si="9"/>
        <v>299520</v>
      </c>
      <c r="J33" s="123">
        <f t="shared" si="10"/>
        <v>2340</v>
      </c>
      <c r="K33" s="138">
        <f t="shared" si="11"/>
        <v>556.875</v>
      </c>
      <c r="L33" s="139">
        <f t="shared" si="12"/>
        <v>92.8125</v>
      </c>
      <c r="M33" s="123">
        <v>7.44</v>
      </c>
      <c r="N33" s="139">
        <f t="shared" si="13"/>
        <v>690.52500000000009</v>
      </c>
    </row>
    <row r="34" spans="2:14" x14ac:dyDescent="0.3">
      <c r="L34" s="138">
        <f>SUM(L29:L33)</f>
        <v>438.9375</v>
      </c>
      <c r="N34" s="138">
        <f>SUM(N29:N33)</f>
        <v>3116.5574999999999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EF7A-EAFD-4014-97E1-126E68B453AD}">
  <dimension ref="A1:M64"/>
  <sheetViews>
    <sheetView topLeftCell="D31" zoomScaleNormal="100" workbookViewId="0">
      <selection activeCell="H51" sqref="H51"/>
    </sheetView>
  </sheetViews>
  <sheetFormatPr defaultColWidth="8.69921875" defaultRowHeight="14.4" x14ac:dyDescent="0.3"/>
  <cols>
    <col min="1" max="1" width="8.5" style="55" customWidth="1"/>
    <col min="2" max="2" width="19.19921875" style="55" customWidth="1"/>
    <col min="3" max="3" width="7.69921875" style="55" customWidth="1"/>
    <col min="4" max="4" width="16.19921875" style="55" customWidth="1"/>
    <col min="5" max="5" width="77.19921875" style="55" customWidth="1"/>
    <col min="6" max="6" width="13.8984375" style="55" customWidth="1"/>
    <col min="7" max="7" width="20.3984375" style="55" customWidth="1"/>
    <col min="8" max="8" width="11.69921875" style="55" bestFit="1" customWidth="1"/>
    <col min="9" max="9" width="10.19921875" style="55" bestFit="1" customWidth="1"/>
    <col min="10" max="16384" width="8.69921875" style="55"/>
  </cols>
  <sheetData>
    <row r="1" spans="1:8" x14ac:dyDescent="0.3">
      <c r="A1" s="59" t="s">
        <v>137</v>
      </c>
      <c r="B1" s="59" t="s">
        <v>136</v>
      </c>
      <c r="C1" s="59" t="s">
        <v>135</v>
      </c>
      <c r="D1" s="59" t="s">
        <v>134</v>
      </c>
      <c r="E1" s="59" t="s">
        <v>133</v>
      </c>
      <c r="F1" s="59" t="s">
        <v>132</v>
      </c>
      <c r="G1" s="59" t="s">
        <v>131</v>
      </c>
      <c r="H1" s="59" t="s">
        <v>130</v>
      </c>
    </row>
    <row r="2" spans="1:8" x14ac:dyDescent="0.3">
      <c r="A2" s="57"/>
      <c r="B2" s="57"/>
      <c r="C2" s="57"/>
      <c r="D2" s="57"/>
      <c r="E2" s="57"/>
      <c r="F2" s="57"/>
      <c r="G2" s="57"/>
      <c r="H2" s="56"/>
    </row>
    <row r="3" spans="1:8" x14ac:dyDescent="0.3">
      <c r="A3" s="57" t="s">
        <v>175</v>
      </c>
      <c r="B3" s="57" t="s">
        <v>97</v>
      </c>
      <c r="C3" s="57">
        <v>25911</v>
      </c>
      <c r="D3" s="57" t="s">
        <v>113</v>
      </c>
      <c r="E3" s="57" t="s">
        <v>176</v>
      </c>
      <c r="F3" s="57" t="s">
        <v>93</v>
      </c>
      <c r="G3" s="57" t="s">
        <v>92</v>
      </c>
      <c r="H3" s="56">
        <v>1742.5</v>
      </c>
    </row>
    <row r="4" spans="1:8" x14ac:dyDescent="0.3">
      <c r="A4" s="57" t="s">
        <v>175</v>
      </c>
      <c r="B4" s="57" t="s">
        <v>97</v>
      </c>
      <c r="C4" s="57">
        <v>25911</v>
      </c>
      <c r="D4" s="57" t="s">
        <v>113</v>
      </c>
      <c r="E4" s="57" t="s">
        <v>117</v>
      </c>
      <c r="F4" s="57" t="s">
        <v>93</v>
      </c>
      <c r="G4" s="57" t="s">
        <v>92</v>
      </c>
      <c r="H4" s="56">
        <v>2151.4</v>
      </c>
    </row>
    <row r="5" spans="1:8" x14ac:dyDescent="0.3">
      <c r="A5" s="57" t="s">
        <v>175</v>
      </c>
      <c r="B5" s="57" t="s">
        <v>97</v>
      </c>
      <c r="C5" s="57">
        <v>25911</v>
      </c>
      <c r="D5" s="57" t="s">
        <v>113</v>
      </c>
      <c r="E5" s="57" t="s">
        <v>112</v>
      </c>
      <c r="F5" s="57" t="s">
        <v>93</v>
      </c>
      <c r="G5" s="57" t="s">
        <v>92</v>
      </c>
      <c r="H5" s="56">
        <v>2306.4</v>
      </c>
    </row>
    <row r="6" spans="1:8" x14ac:dyDescent="0.3">
      <c r="A6" s="57" t="s">
        <v>175</v>
      </c>
      <c r="B6" s="57" t="s">
        <v>97</v>
      </c>
      <c r="C6" s="57">
        <v>25911</v>
      </c>
      <c r="D6" s="57" t="s">
        <v>113</v>
      </c>
      <c r="E6" s="57" t="s">
        <v>119</v>
      </c>
      <c r="F6" s="57" t="s">
        <v>93</v>
      </c>
      <c r="G6" s="57" t="s">
        <v>92</v>
      </c>
      <c r="H6" s="56">
        <v>2755.2</v>
      </c>
    </row>
    <row r="7" spans="1:8" x14ac:dyDescent="0.3">
      <c r="A7" s="57" t="s">
        <v>175</v>
      </c>
      <c r="B7" s="57" t="s">
        <v>97</v>
      </c>
      <c r="C7" s="57">
        <v>25911</v>
      </c>
      <c r="D7" s="57" t="s">
        <v>113</v>
      </c>
      <c r="E7" s="57" t="s">
        <v>116</v>
      </c>
      <c r="F7" s="57" t="s">
        <v>93</v>
      </c>
      <c r="G7" s="57" t="s">
        <v>92</v>
      </c>
      <c r="H7" s="56">
        <v>2870</v>
      </c>
    </row>
    <row r="8" spans="1:8" x14ac:dyDescent="0.3">
      <c r="A8" s="57" t="s">
        <v>175</v>
      </c>
      <c r="B8" s="57" t="s">
        <v>97</v>
      </c>
      <c r="C8" s="57">
        <v>25911</v>
      </c>
      <c r="D8" s="57" t="s">
        <v>113</v>
      </c>
      <c r="E8" s="57" t="s">
        <v>115</v>
      </c>
      <c r="F8" s="57" t="s">
        <v>93</v>
      </c>
      <c r="G8" s="57" t="s">
        <v>92</v>
      </c>
      <c r="H8" s="56">
        <v>3050.4</v>
      </c>
    </row>
    <row r="9" spans="1:8" x14ac:dyDescent="0.3">
      <c r="A9" s="57"/>
      <c r="B9" s="57"/>
      <c r="C9" s="57"/>
      <c r="D9" s="57"/>
      <c r="E9" s="57"/>
      <c r="F9" s="57"/>
      <c r="G9" s="57"/>
      <c r="H9" s="56">
        <f>SUM(H3:H8)</f>
        <v>14875.9</v>
      </c>
    </row>
    <row r="10" spans="1:8" x14ac:dyDescent="0.3">
      <c r="A10" s="57"/>
      <c r="B10" s="57"/>
      <c r="C10" s="57"/>
      <c r="D10" s="57"/>
      <c r="E10" s="57"/>
      <c r="F10" s="57"/>
      <c r="G10" s="57"/>
      <c r="H10" s="56"/>
    </row>
    <row r="11" spans="1:8" x14ac:dyDescent="0.3">
      <c r="A11" s="57"/>
      <c r="B11" s="57"/>
      <c r="C11" s="57"/>
      <c r="D11" s="57"/>
      <c r="E11" s="57"/>
      <c r="F11" s="57"/>
      <c r="G11" s="57"/>
      <c r="H11" s="56"/>
    </row>
    <row r="12" spans="1:8" x14ac:dyDescent="0.3">
      <c r="A12" s="57" t="s">
        <v>172</v>
      </c>
      <c r="B12" s="57" t="s">
        <v>97</v>
      </c>
      <c r="C12" s="57">
        <v>11703</v>
      </c>
      <c r="D12" s="57" t="s">
        <v>121</v>
      </c>
      <c r="E12" s="57" t="s">
        <v>127</v>
      </c>
      <c r="F12" s="57" t="s">
        <v>93</v>
      </c>
      <c r="G12" s="57" t="s">
        <v>92</v>
      </c>
      <c r="H12" s="56">
        <v>5130.84</v>
      </c>
    </row>
    <row r="13" spans="1:8" x14ac:dyDescent="0.3">
      <c r="A13" s="57" t="s">
        <v>172</v>
      </c>
      <c r="B13" s="57" t="s">
        <v>97</v>
      </c>
      <c r="C13" s="57">
        <v>11703</v>
      </c>
      <c r="D13" s="57" t="s">
        <v>121</v>
      </c>
      <c r="E13" s="57" t="s">
        <v>126</v>
      </c>
      <c r="F13" s="57" t="s">
        <v>93</v>
      </c>
      <c r="G13" s="57" t="s">
        <v>92</v>
      </c>
      <c r="H13" s="56">
        <v>5130.84</v>
      </c>
    </row>
    <row r="14" spans="1:8" x14ac:dyDescent="0.3">
      <c r="A14" s="57" t="s">
        <v>172</v>
      </c>
      <c r="B14" s="57" t="s">
        <v>97</v>
      </c>
      <c r="C14" s="57">
        <v>11703</v>
      </c>
      <c r="D14" s="57" t="s">
        <v>121</v>
      </c>
      <c r="E14" s="57" t="s">
        <v>174</v>
      </c>
      <c r="F14" s="57" t="s">
        <v>93</v>
      </c>
      <c r="G14" s="57" t="s">
        <v>92</v>
      </c>
      <c r="H14" s="56">
        <v>5130.84</v>
      </c>
    </row>
    <row r="15" spans="1:8" x14ac:dyDescent="0.3">
      <c r="A15" s="57" t="s">
        <v>172</v>
      </c>
      <c r="B15" s="57" t="s">
        <v>97</v>
      </c>
      <c r="C15" s="57">
        <v>11703</v>
      </c>
      <c r="D15" s="57" t="s">
        <v>121</v>
      </c>
      <c r="E15" s="57" t="s">
        <v>128</v>
      </c>
      <c r="F15" s="57" t="s">
        <v>93</v>
      </c>
      <c r="G15" s="57" t="s">
        <v>92</v>
      </c>
      <c r="H15" s="56">
        <v>6841.12</v>
      </c>
    </row>
    <row r="16" spans="1:8" x14ac:dyDescent="0.3">
      <c r="A16" s="57" t="s">
        <v>172</v>
      </c>
      <c r="B16" s="57" t="s">
        <v>97</v>
      </c>
      <c r="C16" s="57">
        <v>11703</v>
      </c>
      <c r="D16" s="57" t="s">
        <v>121</v>
      </c>
      <c r="E16" s="57" t="s">
        <v>173</v>
      </c>
      <c r="F16" s="57" t="s">
        <v>93</v>
      </c>
      <c r="G16" s="57" t="s">
        <v>92</v>
      </c>
      <c r="H16" s="56">
        <v>6841.12</v>
      </c>
    </row>
    <row r="17" spans="1:9" x14ac:dyDescent="0.3">
      <c r="A17" s="57" t="s">
        <v>172</v>
      </c>
      <c r="B17" s="57" t="s">
        <v>97</v>
      </c>
      <c r="C17" s="57">
        <v>11703</v>
      </c>
      <c r="D17" s="57" t="s">
        <v>121</v>
      </c>
      <c r="E17" s="57" t="s">
        <v>125</v>
      </c>
      <c r="F17" s="57" t="s">
        <v>93</v>
      </c>
      <c r="G17" s="57" t="s">
        <v>92</v>
      </c>
      <c r="H17" s="56">
        <v>6841.12</v>
      </c>
    </row>
    <row r="18" spans="1:9" x14ac:dyDescent="0.3">
      <c r="A18" s="57" t="s">
        <v>172</v>
      </c>
      <c r="B18" s="57" t="s">
        <v>97</v>
      </c>
      <c r="C18" s="57">
        <v>11703</v>
      </c>
      <c r="D18" s="57" t="s">
        <v>121</v>
      </c>
      <c r="E18" s="57" t="s">
        <v>124</v>
      </c>
      <c r="F18" s="57" t="s">
        <v>93</v>
      </c>
      <c r="G18" s="57" t="s">
        <v>92</v>
      </c>
      <c r="H18" s="56">
        <v>6841.12</v>
      </c>
    </row>
    <row r="19" spans="1:9" x14ac:dyDescent="0.3">
      <c r="A19" s="57"/>
      <c r="B19" s="57"/>
      <c r="C19" s="57"/>
      <c r="D19" s="57"/>
      <c r="E19" s="57"/>
      <c r="F19" s="57"/>
      <c r="G19" s="57"/>
      <c r="H19" s="56">
        <f>SUM(H12:H18)</f>
        <v>42757</v>
      </c>
    </row>
    <row r="20" spans="1:9" x14ac:dyDescent="0.3">
      <c r="A20" s="57"/>
      <c r="B20" s="57"/>
      <c r="C20" s="57"/>
      <c r="D20" s="57"/>
      <c r="E20" s="57"/>
      <c r="F20" s="57"/>
      <c r="G20" s="57"/>
      <c r="H20" s="56"/>
    </row>
    <row r="21" spans="1:9" x14ac:dyDescent="0.3">
      <c r="A21" s="57" t="s">
        <v>172</v>
      </c>
      <c r="B21" s="57" t="s">
        <v>97</v>
      </c>
      <c r="C21" s="57">
        <v>11703</v>
      </c>
      <c r="D21" s="57" t="s">
        <v>121</v>
      </c>
      <c r="E21" s="57" t="s">
        <v>120</v>
      </c>
      <c r="F21" s="57" t="s">
        <v>93</v>
      </c>
      <c r="G21" s="57" t="s">
        <v>92</v>
      </c>
      <c r="H21" s="56">
        <v>9055.2000000000007</v>
      </c>
      <c r="I21" s="57"/>
    </row>
    <row r="22" spans="1:9" x14ac:dyDescent="0.3">
      <c r="A22" s="57"/>
      <c r="B22" s="57"/>
      <c r="C22" s="57"/>
      <c r="D22" s="57"/>
      <c r="E22" s="57"/>
      <c r="F22" s="57"/>
      <c r="G22" s="57"/>
      <c r="H22" s="56"/>
    </row>
    <row r="23" spans="1:9" x14ac:dyDescent="0.3">
      <c r="A23" s="57" t="s">
        <v>169</v>
      </c>
      <c r="B23" s="57" t="s">
        <v>97</v>
      </c>
      <c r="C23" s="57"/>
      <c r="D23" s="57" t="s">
        <v>108</v>
      </c>
      <c r="E23" s="57" t="s">
        <v>171</v>
      </c>
      <c r="F23" s="57" t="s">
        <v>93</v>
      </c>
      <c r="G23" s="57" t="s">
        <v>92</v>
      </c>
      <c r="H23" s="56">
        <v>1995</v>
      </c>
    </row>
    <row r="24" spans="1:9" x14ac:dyDescent="0.3">
      <c r="A24" s="57" t="s">
        <v>169</v>
      </c>
      <c r="B24" s="57" t="s">
        <v>97</v>
      </c>
      <c r="C24" s="57"/>
      <c r="D24" s="57" t="s">
        <v>108</v>
      </c>
      <c r="E24" s="57" t="s">
        <v>170</v>
      </c>
      <c r="F24" s="57" t="s">
        <v>93</v>
      </c>
      <c r="G24" s="57" t="s">
        <v>92</v>
      </c>
      <c r="H24" s="56">
        <v>1995</v>
      </c>
    </row>
    <row r="25" spans="1:9" ht="21.6" x14ac:dyDescent="0.3">
      <c r="A25" s="57" t="s">
        <v>169</v>
      </c>
      <c r="B25" s="57" t="s">
        <v>97</v>
      </c>
      <c r="C25" s="57"/>
      <c r="D25" s="57" t="s">
        <v>108</v>
      </c>
      <c r="E25" s="57" t="s">
        <v>168</v>
      </c>
      <c r="F25" s="57" t="s">
        <v>93</v>
      </c>
      <c r="G25" s="57" t="s">
        <v>92</v>
      </c>
      <c r="H25" s="56">
        <v>3100</v>
      </c>
    </row>
    <row r="26" spans="1:9" x14ac:dyDescent="0.3">
      <c r="A26" s="57" t="s">
        <v>167</v>
      </c>
      <c r="B26" s="57" t="s">
        <v>97</v>
      </c>
      <c r="C26" s="57"/>
      <c r="D26" s="57" t="s">
        <v>108</v>
      </c>
      <c r="E26" s="57"/>
      <c r="F26" s="57" t="s">
        <v>93</v>
      </c>
      <c r="G26" s="57" t="s">
        <v>92</v>
      </c>
      <c r="H26" s="56">
        <v>1995</v>
      </c>
    </row>
    <row r="27" spans="1:9" x14ac:dyDescent="0.3">
      <c r="A27" s="57" t="s">
        <v>167</v>
      </c>
      <c r="B27" s="57" t="s">
        <v>97</v>
      </c>
      <c r="C27" s="57">
        <v>4328</v>
      </c>
      <c r="D27" s="57" t="s">
        <v>108</v>
      </c>
      <c r="E27" s="57"/>
      <c r="F27" s="57" t="s">
        <v>93</v>
      </c>
      <c r="G27" s="57" t="s">
        <v>92</v>
      </c>
      <c r="H27" s="56">
        <v>1995</v>
      </c>
    </row>
    <row r="28" spans="1:9" ht="21.6" x14ac:dyDescent="0.3">
      <c r="A28" s="88"/>
      <c r="B28" s="88"/>
      <c r="C28" s="88"/>
      <c r="D28" s="88"/>
      <c r="E28" s="87" t="s">
        <v>179</v>
      </c>
      <c r="F28" s="88" t="s">
        <v>180</v>
      </c>
      <c r="G28" s="88"/>
      <c r="H28" s="89">
        <v>3000</v>
      </c>
    </row>
    <row r="29" spans="1:9" x14ac:dyDescent="0.3">
      <c r="A29" s="57"/>
      <c r="B29" s="57"/>
      <c r="C29" s="57"/>
      <c r="D29" s="57"/>
      <c r="E29" s="57"/>
      <c r="F29" s="57"/>
      <c r="G29" s="57"/>
      <c r="H29" s="56">
        <f>SUM(H23:H28)</f>
        <v>14080</v>
      </c>
    </row>
    <row r="30" spans="1:9" x14ac:dyDescent="0.3">
      <c r="A30" s="57"/>
      <c r="B30" s="57"/>
      <c r="C30" s="57"/>
      <c r="D30" s="57"/>
      <c r="E30" s="57"/>
      <c r="F30" s="57"/>
      <c r="G30" s="57"/>
      <c r="H30" s="56"/>
    </row>
    <row r="31" spans="1:9" x14ac:dyDescent="0.3">
      <c r="A31" s="57" t="s">
        <v>166</v>
      </c>
      <c r="B31" s="57" t="s">
        <v>106</v>
      </c>
      <c r="C31" s="57"/>
      <c r="D31" s="57" t="s">
        <v>165</v>
      </c>
      <c r="E31" s="57" t="s">
        <v>164</v>
      </c>
      <c r="F31" s="57" t="s">
        <v>93</v>
      </c>
      <c r="G31" s="57" t="s">
        <v>102</v>
      </c>
      <c r="H31" s="56">
        <v>785</v>
      </c>
    </row>
    <row r="32" spans="1:9" x14ac:dyDescent="0.3">
      <c r="A32" s="57" t="s">
        <v>162</v>
      </c>
      <c r="B32" s="57" t="s">
        <v>97</v>
      </c>
      <c r="C32" s="57" t="s">
        <v>161</v>
      </c>
      <c r="D32" s="57" t="s">
        <v>104</v>
      </c>
      <c r="E32" s="57" t="s">
        <v>163</v>
      </c>
      <c r="F32" s="57" t="s">
        <v>93</v>
      </c>
      <c r="G32" s="57" t="s">
        <v>92</v>
      </c>
      <c r="H32" s="56">
        <v>175</v>
      </c>
    </row>
    <row r="33" spans="1:13" x14ac:dyDescent="0.3">
      <c r="A33" s="57" t="s">
        <v>162</v>
      </c>
      <c r="B33" s="57" t="s">
        <v>97</v>
      </c>
      <c r="C33" s="57" t="s">
        <v>161</v>
      </c>
      <c r="D33" s="57" t="s">
        <v>104</v>
      </c>
      <c r="E33" s="57" t="s">
        <v>160</v>
      </c>
      <c r="F33" s="57" t="s">
        <v>93</v>
      </c>
      <c r="G33" s="57" t="s">
        <v>92</v>
      </c>
      <c r="H33" s="56">
        <v>2716.5</v>
      </c>
    </row>
    <row r="34" spans="1:13" x14ac:dyDescent="0.3">
      <c r="A34" s="57" t="s">
        <v>159</v>
      </c>
      <c r="B34" s="57" t="s">
        <v>106</v>
      </c>
      <c r="C34" s="57"/>
      <c r="D34" s="57"/>
      <c r="E34" s="57" t="s">
        <v>158</v>
      </c>
      <c r="F34" s="57" t="s">
        <v>93</v>
      </c>
      <c r="G34" s="57" t="s">
        <v>102</v>
      </c>
      <c r="H34" s="56">
        <v>175</v>
      </c>
    </row>
    <row r="35" spans="1:13" x14ac:dyDescent="0.3">
      <c r="A35" s="57"/>
      <c r="B35" s="57"/>
      <c r="C35" s="57"/>
      <c r="D35" s="57"/>
      <c r="E35" s="57"/>
      <c r="F35" s="57"/>
      <c r="G35" s="57"/>
      <c r="H35" s="56">
        <f>SUM(H31:H34)</f>
        <v>3851.5</v>
      </c>
    </row>
    <row r="36" spans="1:13" x14ac:dyDescent="0.3">
      <c r="A36" s="57"/>
      <c r="B36" s="57"/>
      <c r="C36" s="57"/>
      <c r="D36" s="57"/>
      <c r="E36" s="57"/>
      <c r="F36" s="57"/>
      <c r="G36" s="57"/>
      <c r="H36" s="56"/>
    </row>
    <row r="37" spans="1:13" x14ac:dyDescent="0.3">
      <c r="A37" s="57" t="s">
        <v>157</v>
      </c>
      <c r="B37" s="57" t="s">
        <v>106</v>
      </c>
      <c r="C37" s="57" t="s">
        <v>156</v>
      </c>
      <c r="D37" s="57" t="s">
        <v>99</v>
      </c>
      <c r="E37" s="57" t="s">
        <v>155</v>
      </c>
      <c r="F37" s="57" t="s">
        <v>93</v>
      </c>
      <c r="G37" s="57" t="s">
        <v>102</v>
      </c>
      <c r="H37" s="56">
        <v>32500</v>
      </c>
    </row>
    <row r="38" spans="1:13" x14ac:dyDescent="0.3">
      <c r="A38" s="57" t="s">
        <v>154</v>
      </c>
      <c r="B38" s="57" t="s">
        <v>97</v>
      </c>
      <c r="C38" s="57" t="s">
        <v>153</v>
      </c>
      <c r="D38" s="57" t="s">
        <v>99</v>
      </c>
      <c r="E38" s="57" t="s">
        <v>99</v>
      </c>
      <c r="F38" s="57" t="s">
        <v>93</v>
      </c>
      <c r="G38" s="57" t="s">
        <v>92</v>
      </c>
      <c r="H38" s="56">
        <v>19182.990000000002</v>
      </c>
    </row>
    <row r="39" spans="1:13" x14ac:dyDescent="0.3">
      <c r="A39" s="57" t="s">
        <v>152</v>
      </c>
      <c r="B39" s="57" t="s">
        <v>97</v>
      </c>
      <c r="C39" s="57" t="s">
        <v>151</v>
      </c>
      <c r="D39" s="57" t="s">
        <v>99</v>
      </c>
      <c r="E39" s="57" t="s">
        <v>99</v>
      </c>
      <c r="F39" s="57" t="s">
        <v>93</v>
      </c>
      <c r="G39" s="57" t="s">
        <v>92</v>
      </c>
      <c r="H39" s="56">
        <v>10682.58</v>
      </c>
    </row>
    <row r="40" spans="1:13" x14ac:dyDescent="0.3">
      <c r="H40" s="58">
        <f>SUM(H37:H39)</f>
        <v>62365.570000000007</v>
      </c>
    </row>
    <row r="42" spans="1:13" x14ac:dyDescent="0.3">
      <c r="G42" s="65" t="s">
        <v>150</v>
      </c>
      <c r="H42" s="66">
        <f>H40+H35+H29+H21+H19+H9</f>
        <v>146985.17000000001</v>
      </c>
      <c r="I42" s="61">
        <f>H42/H45</f>
        <v>0.92628176931366313</v>
      </c>
      <c r="J42" s="62">
        <f>I42*24</f>
        <v>22.230762463527917</v>
      </c>
    </row>
    <row r="44" spans="1:13" x14ac:dyDescent="0.3">
      <c r="G44" s="69">
        <v>45422</v>
      </c>
      <c r="H44" s="69"/>
    </row>
    <row r="45" spans="1:13" x14ac:dyDescent="0.3">
      <c r="G45" s="65" t="s">
        <v>141</v>
      </c>
      <c r="H45" s="79">
        <f>M53</f>
        <v>158683</v>
      </c>
      <c r="L45" s="75" t="s">
        <v>149</v>
      </c>
    </row>
    <row r="46" spans="1:13" x14ac:dyDescent="0.3">
      <c r="L46" s="55" t="s">
        <v>148</v>
      </c>
      <c r="M46" s="55">
        <v>25282</v>
      </c>
    </row>
    <row r="47" spans="1:13" ht="15.6" x14ac:dyDescent="0.3">
      <c r="H47" s="70" t="s">
        <v>3</v>
      </c>
      <c r="L47" s="55" t="s">
        <v>147</v>
      </c>
      <c r="M47" s="55">
        <v>25583</v>
      </c>
    </row>
    <row r="48" spans="1:13" ht="15.6" x14ac:dyDescent="0.3">
      <c r="G48" s="70" t="s">
        <v>68</v>
      </c>
      <c r="H48" s="78">
        <f>H19/H45</f>
        <v>0.26944915334345831</v>
      </c>
      <c r="L48" s="55" t="s">
        <v>146</v>
      </c>
      <c r="M48" s="55">
        <v>19243</v>
      </c>
    </row>
    <row r="49" spans="6:13" ht="15.6" x14ac:dyDescent="0.3">
      <c r="G49" s="70" t="s">
        <v>139</v>
      </c>
      <c r="H49" s="78">
        <f>H21/H45</f>
        <v>5.7064713926507568E-2</v>
      </c>
      <c r="L49" s="55" t="s">
        <v>145</v>
      </c>
      <c r="M49" s="55">
        <v>18496</v>
      </c>
    </row>
    <row r="50" spans="6:13" ht="15.6" x14ac:dyDescent="0.3">
      <c r="G50" s="70" t="s">
        <v>0</v>
      </c>
      <c r="H50" s="67">
        <f>H40/H45</f>
        <v>0.39301985719957405</v>
      </c>
      <c r="L50" s="55" t="s">
        <v>144</v>
      </c>
      <c r="M50" s="55">
        <v>25147</v>
      </c>
    </row>
    <row r="51" spans="6:13" ht="15.6" x14ac:dyDescent="0.3">
      <c r="G51" s="70" t="s">
        <v>40</v>
      </c>
      <c r="H51" s="77">
        <f>H9/H45</f>
        <v>9.3746021943119304E-2</v>
      </c>
      <c r="L51" s="55" t="s">
        <v>143</v>
      </c>
      <c r="M51" s="55">
        <v>19338</v>
      </c>
    </row>
    <row r="52" spans="6:13" ht="15.6" x14ac:dyDescent="0.3">
      <c r="F52" s="84"/>
      <c r="G52" s="70" t="s">
        <v>69</v>
      </c>
      <c r="H52" s="76">
        <f>H29/H45</f>
        <v>8.873036179048796E-2</v>
      </c>
      <c r="L52" s="55" t="s">
        <v>142</v>
      </c>
      <c r="M52" s="75">
        <v>25594</v>
      </c>
    </row>
    <row r="53" spans="6:13" ht="15.6" x14ac:dyDescent="0.3">
      <c r="G53" s="70" t="s">
        <v>71</v>
      </c>
      <c r="H53" s="74">
        <f>H35/H45</f>
        <v>2.4271661110515933E-2</v>
      </c>
      <c r="M53" s="55">
        <f>SUM(M46:M52)</f>
        <v>158683</v>
      </c>
    </row>
    <row r="54" spans="6:13" ht="15.6" x14ac:dyDescent="0.3">
      <c r="G54" s="70" t="s">
        <v>57</v>
      </c>
      <c r="H54" s="67">
        <f>SUM(H48:H53)</f>
        <v>0.92628176931366313</v>
      </c>
    </row>
    <row r="55" spans="6:13" ht="15.6" x14ac:dyDescent="0.3">
      <c r="G55" s="70" t="s">
        <v>41</v>
      </c>
      <c r="H55" s="67">
        <f>H54*24</f>
        <v>22.230762463527917</v>
      </c>
    </row>
    <row r="56" spans="6:13" ht="15.6" x14ac:dyDescent="0.3">
      <c r="G56" s="70" t="s">
        <v>42</v>
      </c>
      <c r="H56" s="74">
        <v>28</v>
      </c>
    </row>
    <row r="57" spans="6:13" ht="15.6" x14ac:dyDescent="0.3">
      <c r="G57" s="70" t="s">
        <v>79</v>
      </c>
      <c r="H57" s="67">
        <f>H56-H55</f>
        <v>5.7692375364720831</v>
      </c>
    </row>
    <row r="58" spans="6:13" ht="15.6" x14ac:dyDescent="0.3">
      <c r="G58" s="70"/>
    </row>
    <row r="59" spans="6:13" ht="15.6" x14ac:dyDescent="0.3">
      <c r="G59" s="70"/>
      <c r="H59" s="73"/>
    </row>
    <row r="60" spans="6:13" ht="15.6" x14ac:dyDescent="0.3">
      <c r="G60" s="70"/>
    </row>
    <row r="61" spans="6:13" ht="15.6" x14ac:dyDescent="0.3">
      <c r="G61" s="70"/>
      <c r="H61" s="73"/>
    </row>
    <row r="62" spans="6:13" ht="15.6" x14ac:dyDescent="0.3">
      <c r="G62" s="70"/>
      <c r="H62" s="72"/>
    </row>
    <row r="63" spans="6:13" ht="15.6" x14ac:dyDescent="0.3">
      <c r="G63" s="70"/>
      <c r="H63" s="71"/>
    </row>
    <row r="64" spans="6:13" ht="15.6" x14ac:dyDescent="0.3">
      <c r="G64" s="70"/>
      <c r="H64" s="6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F69C-A9FD-4267-98D1-1245030810CE}">
  <dimension ref="A1:N78"/>
  <sheetViews>
    <sheetView topLeftCell="D22" workbookViewId="0">
      <selection activeCell="H41" sqref="H41"/>
    </sheetView>
  </sheetViews>
  <sheetFormatPr defaultColWidth="11.19921875" defaultRowHeight="15.6" outlineLevelRow="1" x14ac:dyDescent="0.3"/>
  <cols>
    <col min="1" max="1" width="23.8984375" style="104" customWidth="1"/>
    <col min="2" max="2" width="9.19921875" style="104" customWidth="1"/>
    <col min="3" max="3" width="21.19921875" style="104" customWidth="1"/>
    <col min="4" max="4" width="8.3984375" style="104" customWidth="1"/>
    <col min="5" max="5" width="17.8984375" style="104" customWidth="1"/>
    <col min="6" max="6" width="85.69921875" style="104" customWidth="1"/>
    <col min="7" max="7" width="15.19921875" style="104" customWidth="1"/>
    <col min="8" max="8" width="20.3984375" style="104" customWidth="1"/>
    <col min="9" max="9" width="15.19921875" style="104" customWidth="1"/>
    <col min="10" max="10" width="16.09765625" style="104" customWidth="1"/>
  </cols>
  <sheetData>
    <row r="1" spans="1:14" x14ac:dyDescent="0.3">
      <c r="A1" s="384" t="s">
        <v>202</v>
      </c>
      <c r="B1" s="371"/>
      <c r="C1" s="371"/>
      <c r="D1" s="371"/>
      <c r="E1" s="371"/>
      <c r="F1" s="371"/>
      <c r="G1" s="371"/>
      <c r="H1" s="371"/>
      <c r="I1" s="371"/>
    </row>
    <row r="2" spans="1:14" x14ac:dyDescent="0.3">
      <c r="A2" s="384" t="s">
        <v>201</v>
      </c>
      <c r="B2" s="371"/>
      <c r="C2" s="371"/>
      <c r="D2" s="371"/>
      <c r="E2" s="371"/>
      <c r="F2" s="371"/>
      <c r="G2" s="371"/>
      <c r="H2" s="371"/>
      <c r="I2" s="371"/>
    </row>
    <row r="3" spans="1:14" x14ac:dyDescent="0.3">
      <c r="A3" s="385" t="s">
        <v>200</v>
      </c>
      <c r="B3" s="371"/>
      <c r="C3" s="371"/>
      <c r="D3" s="371"/>
      <c r="E3" s="371"/>
      <c r="F3" s="371"/>
      <c r="G3" s="371"/>
      <c r="H3" s="371"/>
      <c r="I3" s="371"/>
    </row>
    <row r="5" spans="1:14" x14ac:dyDescent="0.3">
      <c r="B5" s="116" t="s">
        <v>137</v>
      </c>
      <c r="C5" s="116" t="s">
        <v>199</v>
      </c>
      <c r="D5" s="116" t="s">
        <v>135</v>
      </c>
      <c r="E5" s="116" t="s">
        <v>134</v>
      </c>
      <c r="F5" s="116" t="s">
        <v>133</v>
      </c>
      <c r="G5" s="116" t="s">
        <v>198</v>
      </c>
      <c r="H5" s="116" t="s">
        <v>132</v>
      </c>
      <c r="I5" s="116" t="s">
        <v>130</v>
      </c>
      <c r="J5" s="116"/>
    </row>
    <row r="6" spans="1:14" x14ac:dyDescent="0.3">
      <c r="A6" s="115" t="s">
        <v>93</v>
      </c>
    </row>
    <row r="7" spans="1:14" outlineLevel="1" x14ac:dyDescent="0.3">
      <c r="B7" s="109">
        <v>45069</v>
      </c>
      <c r="C7" s="108" t="s">
        <v>197</v>
      </c>
      <c r="D7" s="108" t="s">
        <v>196</v>
      </c>
      <c r="E7" s="108" t="s">
        <v>184</v>
      </c>
      <c r="F7" s="108" t="s">
        <v>195</v>
      </c>
      <c r="G7" s="108" t="s">
        <v>93</v>
      </c>
      <c r="H7" s="108" t="s">
        <v>194</v>
      </c>
      <c r="I7" s="107">
        <v>0</v>
      </c>
      <c r="J7" s="107"/>
    </row>
    <row r="8" spans="1:14" outlineLevel="1" x14ac:dyDescent="0.3">
      <c r="B8" s="109">
        <v>45090</v>
      </c>
      <c r="C8" s="108" t="s">
        <v>97</v>
      </c>
      <c r="D8" s="108" t="s">
        <v>192</v>
      </c>
      <c r="E8" s="108" t="s">
        <v>113</v>
      </c>
      <c r="F8" s="108" t="s">
        <v>193</v>
      </c>
      <c r="G8" s="108" t="s">
        <v>93</v>
      </c>
      <c r="H8" s="108" t="s">
        <v>92</v>
      </c>
      <c r="I8" s="107">
        <v>1993</v>
      </c>
      <c r="J8" s="107"/>
      <c r="K8">
        <v>350</v>
      </c>
      <c r="L8">
        <f>K8*128*6</f>
        <v>268800</v>
      </c>
      <c r="M8">
        <f>L8/12</f>
        <v>22400</v>
      </c>
      <c r="N8">
        <f>M8/24</f>
        <v>933.33333333333337</v>
      </c>
    </row>
    <row r="9" spans="1:14" outlineLevel="1" x14ac:dyDescent="0.3">
      <c r="B9" s="109">
        <v>45090</v>
      </c>
      <c r="C9" s="108" t="s">
        <v>97</v>
      </c>
      <c r="D9" s="108" t="s">
        <v>192</v>
      </c>
      <c r="E9" s="108" t="s">
        <v>113</v>
      </c>
      <c r="F9" s="108" t="s">
        <v>191</v>
      </c>
      <c r="G9" s="108" t="s">
        <v>93</v>
      </c>
      <c r="H9" s="108" t="s">
        <v>92</v>
      </c>
      <c r="I9" s="107">
        <v>7668.5</v>
      </c>
      <c r="J9" s="107"/>
    </row>
    <row r="10" spans="1:14" outlineLevel="1" x14ac:dyDescent="0.3">
      <c r="B10" s="109">
        <v>45288</v>
      </c>
      <c r="C10" s="108" t="s">
        <v>97</v>
      </c>
      <c r="D10" s="108" t="s">
        <v>190</v>
      </c>
      <c r="E10" s="108" t="s">
        <v>113</v>
      </c>
      <c r="F10" s="108" t="s">
        <v>189</v>
      </c>
      <c r="G10" s="108" t="s">
        <v>93</v>
      </c>
      <c r="H10" s="108" t="s">
        <v>92</v>
      </c>
      <c r="I10" s="110">
        <v>2553.6</v>
      </c>
      <c r="J10" s="107"/>
    </row>
    <row r="11" spans="1:14" outlineLevel="1" x14ac:dyDescent="0.3">
      <c r="B11" s="109"/>
      <c r="C11" s="108"/>
      <c r="D11" s="108"/>
      <c r="E11" s="108"/>
      <c r="F11" s="108"/>
      <c r="G11" s="108"/>
      <c r="H11" s="108"/>
      <c r="I11" s="107">
        <f>SUM(I7:I10)</f>
        <v>12215.1</v>
      </c>
      <c r="J11" s="107"/>
    </row>
    <row r="12" spans="1:14" outlineLevel="1" x14ac:dyDescent="0.3">
      <c r="B12" s="109"/>
      <c r="C12" s="108"/>
      <c r="D12" s="108"/>
      <c r="E12" s="108"/>
      <c r="F12" s="108"/>
      <c r="G12" s="108"/>
      <c r="H12" s="108"/>
      <c r="I12" s="107"/>
      <c r="J12" s="107"/>
    </row>
    <row r="13" spans="1:14" outlineLevel="1" x14ac:dyDescent="0.3">
      <c r="B13" s="109">
        <v>45104</v>
      </c>
      <c r="C13" s="108" t="s">
        <v>97</v>
      </c>
      <c r="D13" s="108" t="s">
        <v>188</v>
      </c>
      <c r="E13" s="108" t="s">
        <v>186</v>
      </c>
      <c r="F13" s="108" t="s">
        <v>184</v>
      </c>
      <c r="G13" s="108" t="s">
        <v>93</v>
      </c>
      <c r="H13" s="108" t="s">
        <v>92</v>
      </c>
      <c r="I13" s="107">
        <v>13820.66</v>
      </c>
      <c r="J13" s="107"/>
    </row>
    <row r="14" spans="1:14" outlineLevel="1" x14ac:dyDescent="0.3">
      <c r="B14" s="109">
        <v>45145</v>
      </c>
      <c r="C14" s="108" t="s">
        <v>97</v>
      </c>
      <c r="D14" s="108" t="s">
        <v>184</v>
      </c>
      <c r="E14" s="108" t="s">
        <v>186</v>
      </c>
      <c r="F14" s="108" t="s">
        <v>187</v>
      </c>
      <c r="G14" s="108" t="s">
        <v>93</v>
      </c>
      <c r="H14" s="108" t="s">
        <v>92</v>
      </c>
      <c r="I14" s="107">
        <v>881.28</v>
      </c>
      <c r="J14" s="107"/>
    </row>
    <row r="15" spans="1:14" outlineLevel="1" x14ac:dyDescent="0.3">
      <c r="B15" s="109">
        <v>45316</v>
      </c>
      <c r="C15" s="108" t="s">
        <v>97</v>
      </c>
      <c r="D15" s="108" t="s">
        <v>184</v>
      </c>
      <c r="E15" s="108" t="s">
        <v>186</v>
      </c>
      <c r="F15" s="108" t="s">
        <v>184</v>
      </c>
      <c r="G15" s="108" t="s">
        <v>93</v>
      </c>
      <c r="H15" s="108" t="s">
        <v>92</v>
      </c>
      <c r="I15" s="110">
        <v>3770.16</v>
      </c>
      <c r="J15" s="107"/>
    </row>
    <row r="16" spans="1:14" outlineLevel="1" x14ac:dyDescent="0.3">
      <c r="B16" s="109"/>
      <c r="C16" s="108"/>
      <c r="D16" s="108"/>
      <c r="E16" s="108"/>
      <c r="F16" s="108"/>
      <c r="G16" s="108"/>
      <c r="H16" s="108"/>
      <c r="I16" s="107">
        <f>SUM(I13:I15)</f>
        <v>18472.099999999999</v>
      </c>
      <c r="J16" s="107"/>
    </row>
    <row r="17" spans="2:10" outlineLevel="1" x14ac:dyDescent="0.3">
      <c r="B17" s="109"/>
      <c r="C17" s="108"/>
      <c r="D17" s="108"/>
      <c r="E17" s="108"/>
      <c r="F17" s="108"/>
      <c r="G17" s="108"/>
      <c r="H17" s="108"/>
      <c r="I17" s="107"/>
      <c r="J17" s="107"/>
    </row>
    <row r="18" spans="2:10" outlineLevel="1" x14ac:dyDescent="0.3">
      <c r="B18" s="109">
        <v>45016</v>
      </c>
      <c r="C18" s="108" t="s">
        <v>106</v>
      </c>
      <c r="D18" s="108" t="s">
        <v>184</v>
      </c>
      <c r="E18" s="108" t="s">
        <v>99</v>
      </c>
      <c r="F18" s="108" t="s">
        <v>99</v>
      </c>
      <c r="G18" s="108" t="s">
        <v>93</v>
      </c>
      <c r="H18" s="108" t="s">
        <v>102</v>
      </c>
      <c r="I18" s="107">
        <v>21560.400000000001</v>
      </c>
      <c r="J18" s="107"/>
    </row>
    <row r="19" spans="2:10" outlineLevel="1" x14ac:dyDescent="0.3">
      <c r="B19" s="109">
        <v>45257</v>
      </c>
      <c r="C19" s="108" t="s">
        <v>97</v>
      </c>
      <c r="D19" s="108" t="s">
        <v>184</v>
      </c>
      <c r="E19" s="108" t="s">
        <v>99</v>
      </c>
      <c r="F19" s="108" t="s">
        <v>99</v>
      </c>
      <c r="G19" s="108" t="s">
        <v>93</v>
      </c>
      <c r="H19" s="108" t="s">
        <v>92</v>
      </c>
      <c r="I19" s="107">
        <v>459.32</v>
      </c>
      <c r="J19" s="107"/>
    </row>
    <row r="20" spans="2:10" outlineLevel="1" x14ac:dyDescent="0.3">
      <c r="B20" s="109">
        <v>45287</v>
      </c>
      <c r="C20" s="108" t="s">
        <v>106</v>
      </c>
      <c r="D20" s="108" t="s">
        <v>184</v>
      </c>
      <c r="E20" s="108" t="s">
        <v>99</v>
      </c>
      <c r="F20" s="108" t="s">
        <v>185</v>
      </c>
      <c r="G20" s="108" t="s">
        <v>93</v>
      </c>
      <c r="H20" s="108" t="s">
        <v>102</v>
      </c>
      <c r="I20" s="107">
        <v>3025.53</v>
      </c>
      <c r="J20" s="107"/>
    </row>
    <row r="21" spans="2:10" outlineLevel="1" x14ac:dyDescent="0.3">
      <c r="B21" s="109">
        <v>45314</v>
      </c>
      <c r="C21" s="108" t="s">
        <v>106</v>
      </c>
      <c r="D21" s="108" t="s">
        <v>184</v>
      </c>
      <c r="E21" s="108"/>
      <c r="F21" s="108" t="s">
        <v>183</v>
      </c>
      <c r="G21" s="108" t="s">
        <v>93</v>
      </c>
      <c r="H21" s="108" t="s">
        <v>102</v>
      </c>
      <c r="I21" s="110">
        <v>1457.91</v>
      </c>
      <c r="J21" s="107"/>
    </row>
    <row r="22" spans="2:10" outlineLevel="1" x14ac:dyDescent="0.3">
      <c r="B22" s="109"/>
      <c r="C22" s="108"/>
      <c r="D22" s="108"/>
      <c r="E22" s="108"/>
      <c r="F22" s="108"/>
      <c r="G22" s="108"/>
      <c r="H22" s="108"/>
      <c r="I22" s="107">
        <f>SUM(I18:I21)</f>
        <v>26503.16</v>
      </c>
      <c r="J22" s="107"/>
    </row>
    <row r="23" spans="2:10" outlineLevel="1" x14ac:dyDescent="0.3">
      <c r="B23" s="109"/>
      <c r="C23" s="108"/>
      <c r="D23" s="108"/>
      <c r="E23" s="108"/>
      <c r="F23" s="108"/>
      <c r="G23" s="108"/>
      <c r="H23" s="108"/>
      <c r="I23" s="107"/>
      <c r="J23" s="107"/>
    </row>
    <row r="24" spans="2:10" outlineLevel="1" x14ac:dyDescent="0.3">
      <c r="B24" s="109">
        <v>45315</v>
      </c>
      <c r="C24" s="108" t="s">
        <v>97</v>
      </c>
      <c r="D24" s="108" t="s">
        <v>182</v>
      </c>
      <c r="E24" s="108" t="s">
        <v>108</v>
      </c>
      <c r="F24" s="108" t="s">
        <v>108</v>
      </c>
      <c r="G24" s="108" t="s">
        <v>93</v>
      </c>
      <c r="H24" s="108" t="s">
        <v>92</v>
      </c>
      <c r="I24" s="107">
        <v>2600</v>
      </c>
      <c r="J24" s="107"/>
    </row>
    <row r="25" spans="2:10" outlineLevel="1" x14ac:dyDescent="0.3">
      <c r="B25" s="109"/>
      <c r="C25" s="108"/>
      <c r="D25" s="108"/>
      <c r="E25" s="108"/>
      <c r="F25" s="108"/>
      <c r="G25" s="108"/>
      <c r="H25" s="108"/>
      <c r="I25" s="107"/>
      <c r="J25" s="107"/>
    </row>
    <row r="26" spans="2:10" outlineLevel="1" x14ac:dyDescent="0.3">
      <c r="B26" s="109"/>
      <c r="C26" s="108"/>
      <c r="D26" s="108"/>
      <c r="E26" s="108"/>
      <c r="F26" s="108"/>
      <c r="G26" s="108"/>
      <c r="H26" s="108"/>
      <c r="I26" s="107">
        <f>I11+I16+I22+I24</f>
        <v>59790.36</v>
      </c>
      <c r="J26" s="107"/>
    </row>
    <row r="27" spans="2:10" outlineLevel="1" x14ac:dyDescent="0.3">
      <c r="B27" s="109"/>
      <c r="C27" s="108"/>
      <c r="D27" s="108"/>
      <c r="E27" s="108"/>
      <c r="F27" s="108"/>
      <c r="G27" s="108"/>
      <c r="H27" s="108"/>
      <c r="I27" s="107"/>
      <c r="J27" s="107"/>
    </row>
    <row r="28" spans="2:10" ht="16.2" outlineLevel="1" thickBot="1" x14ac:dyDescent="0.35">
      <c r="B28" s="109"/>
      <c r="C28" s="108"/>
      <c r="D28" s="108"/>
      <c r="E28" s="108"/>
      <c r="F28" s="108"/>
      <c r="G28" s="108"/>
      <c r="H28" s="108"/>
      <c r="J28" s="107"/>
    </row>
    <row r="29" spans="2:10" outlineLevel="1" x14ac:dyDescent="0.3">
      <c r="B29" s="109"/>
      <c r="C29" s="108"/>
      <c r="D29" s="108"/>
      <c r="E29" s="108"/>
      <c r="F29" s="108"/>
      <c r="G29" s="108"/>
      <c r="H29" s="372">
        <v>45614</v>
      </c>
      <c r="I29" s="373"/>
      <c r="J29" s="107"/>
    </row>
    <row r="30" spans="2:10" outlineLevel="1" x14ac:dyDescent="0.3">
      <c r="B30" s="109"/>
      <c r="C30" s="108"/>
      <c r="D30" s="108"/>
      <c r="E30" s="108"/>
      <c r="F30" s="108"/>
      <c r="G30" s="108"/>
      <c r="H30" s="90" t="s">
        <v>141</v>
      </c>
      <c r="I30" s="114">
        <f>I51*24</f>
        <v>65904</v>
      </c>
      <c r="J30" s="107"/>
    </row>
    <row r="31" spans="2:10" outlineLevel="1" x14ac:dyDescent="0.3">
      <c r="B31" s="109"/>
      <c r="C31" s="108"/>
      <c r="D31" s="108"/>
      <c r="E31" s="108"/>
      <c r="F31" s="108"/>
      <c r="G31" s="108"/>
      <c r="H31" s="90"/>
      <c r="I31" s="92"/>
      <c r="J31" s="107"/>
    </row>
    <row r="32" spans="2:10" outlineLevel="1" x14ac:dyDescent="0.3">
      <c r="B32" s="109"/>
      <c r="C32" s="108"/>
      <c r="D32" s="108"/>
      <c r="E32" s="108"/>
      <c r="F32" s="108"/>
      <c r="G32" s="108"/>
      <c r="H32" s="93"/>
      <c r="I32" s="94" t="s">
        <v>3</v>
      </c>
      <c r="J32" s="107"/>
    </row>
    <row r="33" spans="2:10" outlineLevel="1" x14ac:dyDescent="0.3">
      <c r="B33" s="109"/>
      <c r="C33" s="108"/>
      <c r="D33" s="108"/>
      <c r="E33" s="108"/>
      <c r="F33" s="108"/>
      <c r="G33" s="108"/>
      <c r="H33" s="95" t="s">
        <v>68</v>
      </c>
      <c r="I33" s="113">
        <f>I16/I30</f>
        <v>0.28028799465889775</v>
      </c>
      <c r="J33" s="107"/>
    </row>
    <row r="34" spans="2:10" outlineLevel="1" x14ac:dyDescent="0.3">
      <c r="B34" s="109"/>
      <c r="C34" s="108"/>
      <c r="D34" s="108"/>
      <c r="E34" s="108"/>
      <c r="F34" s="108"/>
      <c r="G34" s="108"/>
      <c r="H34" s="95" t="s">
        <v>139</v>
      </c>
      <c r="I34" s="113">
        <v>0</v>
      </c>
      <c r="J34" s="107"/>
    </row>
    <row r="35" spans="2:10" outlineLevel="1" x14ac:dyDescent="0.3">
      <c r="B35" s="109"/>
      <c r="C35" s="108"/>
      <c r="D35" s="108"/>
      <c r="E35" s="108"/>
      <c r="F35" s="108"/>
      <c r="G35" s="108"/>
      <c r="H35" s="95" t="s">
        <v>0</v>
      </c>
      <c r="I35" s="97">
        <f>I22/I30</f>
        <v>0.40214797280893422</v>
      </c>
      <c r="J35" s="107"/>
    </row>
    <row r="36" spans="2:10" outlineLevel="1" x14ac:dyDescent="0.3">
      <c r="B36" s="109"/>
      <c r="C36" s="108"/>
      <c r="D36" s="108"/>
      <c r="E36" s="108"/>
      <c r="F36" s="108"/>
      <c r="G36" s="108"/>
      <c r="H36" s="95" t="s">
        <v>40</v>
      </c>
      <c r="I36" s="112">
        <f>I11/I30</f>
        <v>0.18534686817188639</v>
      </c>
      <c r="J36" s="107"/>
    </row>
    <row r="37" spans="2:10" outlineLevel="1" x14ac:dyDescent="0.3">
      <c r="B37" s="109"/>
      <c r="C37" s="108"/>
      <c r="D37" s="108"/>
      <c r="E37" s="108"/>
      <c r="F37" s="108"/>
      <c r="G37" s="108"/>
      <c r="H37" s="95" t="s">
        <v>69</v>
      </c>
      <c r="I37" s="112">
        <f>I24/I30</f>
        <v>3.9451323136683661E-2</v>
      </c>
      <c r="J37" s="107"/>
    </row>
    <row r="38" spans="2:10" outlineLevel="1" x14ac:dyDescent="0.3">
      <c r="B38" s="109"/>
      <c r="C38" s="108"/>
      <c r="D38" s="108"/>
      <c r="E38" s="108"/>
      <c r="F38" s="108"/>
      <c r="G38" s="108"/>
      <c r="H38" s="95" t="s">
        <v>71</v>
      </c>
      <c r="I38" s="111">
        <v>0</v>
      </c>
      <c r="J38" s="107"/>
    </row>
    <row r="39" spans="2:10" outlineLevel="1" x14ac:dyDescent="0.3">
      <c r="B39" s="109"/>
      <c r="C39" s="108"/>
      <c r="D39" s="108"/>
      <c r="E39" s="108"/>
      <c r="F39" s="108"/>
      <c r="G39" s="108"/>
      <c r="H39" s="95" t="s">
        <v>57</v>
      </c>
      <c r="I39" s="97">
        <f>SUM(I33:I38)</f>
        <v>0.90723415877640201</v>
      </c>
      <c r="J39" s="107"/>
    </row>
    <row r="40" spans="2:10" outlineLevel="1" x14ac:dyDescent="0.3">
      <c r="B40" s="109"/>
      <c r="C40" s="108"/>
      <c r="D40" s="108"/>
      <c r="E40" s="108"/>
      <c r="F40" s="108"/>
      <c r="G40" s="108"/>
      <c r="H40" s="100" t="s">
        <v>41</v>
      </c>
      <c r="I40" s="101">
        <f>I39*24</f>
        <v>21.773619810633647</v>
      </c>
      <c r="J40" s="107"/>
    </row>
    <row r="41" spans="2:10" outlineLevel="1" x14ac:dyDescent="0.3">
      <c r="B41" s="109"/>
      <c r="C41" s="108"/>
      <c r="D41" s="108"/>
      <c r="E41" s="108"/>
      <c r="F41" s="108"/>
      <c r="G41" s="108"/>
      <c r="H41" s="95" t="s">
        <v>42</v>
      </c>
      <c r="I41" s="111">
        <v>28</v>
      </c>
      <c r="J41" s="107"/>
    </row>
    <row r="42" spans="2:10" ht="16.2" outlineLevel="1" thickBot="1" x14ac:dyDescent="0.35">
      <c r="B42" s="109"/>
      <c r="C42" s="108"/>
      <c r="D42" s="108"/>
      <c r="E42" s="108"/>
      <c r="F42" s="108"/>
      <c r="G42" s="108"/>
      <c r="H42" s="102" t="s">
        <v>79</v>
      </c>
      <c r="I42" s="103">
        <f>I41-I40</f>
        <v>6.2263801893663526</v>
      </c>
      <c r="J42" s="107"/>
    </row>
    <row r="43" spans="2:10" outlineLevel="1" x14ac:dyDescent="0.3">
      <c r="B43" s="109"/>
      <c r="C43" s="108"/>
      <c r="D43" s="108"/>
      <c r="E43" s="108"/>
      <c r="F43" s="108"/>
      <c r="G43" s="108"/>
      <c r="H43" s="68"/>
      <c r="I43" s="2"/>
      <c r="J43" s="107"/>
    </row>
    <row r="44" spans="2:10" outlineLevel="1" x14ac:dyDescent="0.3">
      <c r="B44" s="109"/>
      <c r="C44" s="108"/>
      <c r="D44" s="108"/>
      <c r="E44" s="108"/>
      <c r="F44" s="108"/>
      <c r="G44" s="108"/>
      <c r="H44" s="108"/>
      <c r="I44" s="107">
        <v>1163</v>
      </c>
      <c r="J44" s="107"/>
    </row>
    <row r="45" spans="2:10" outlineLevel="1" x14ac:dyDescent="0.3">
      <c r="B45" s="109"/>
      <c r="C45" s="108"/>
      <c r="D45" s="108"/>
      <c r="E45" s="108"/>
      <c r="F45" s="108"/>
      <c r="G45" s="108"/>
      <c r="H45" s="108"/>
      <c r="I45" s="107">
        <v>475</v>
      </c>
      <c r="J45" s="107"/>
    </row>
    <row r="46" spans="2:10" outlineLevel="1" x14ac:dyDescent="0.3">
      <c r="B46" s="109"/>
      <c r="C46" s="108"/>
      <c r="D46" s="108"/>
      <c r="E46" s="108"/>
      <c r="F46" s="108"/>
      <c r="G46" s="108"/>
      <c r="H46" s="108"/>
      <c r="I46" s="107">
        <v>324</v>
      </c>
      <c r="J46" s="107"/>
    </row>
    <row r="47" spans="2:10" outlineLevel="1" x14ac:dyDescent="0.3">
      <c r="B47" s="109"/>
      <c r="C47" s="108"/>
      <c r="D47" s="108"/>
      <c r="E47" s="108"/>
      <c r="F47" s="108"/>
      <c r="G47" s="108"/>
      <c r="H47" s="108"/>
      <c r="I47" s="107">
        <v>72</v>
      </c>
      <c r="J47" s="107"/>
    </row>
    <row r="48" spans="2:10" outlineLevel="1" x14ac:dyDescent="0.3">
      <c r="B48" s="109"/>
      <c r="C48" s="108"/>
      <c r="D48" s="108"/>
      <c r="E48" s="108"/>
      <c r="F48" s="108"/>
      <c r="G48" s="108"/>
      <c r="H48" s="108"/>
      <c r="I48" s="107">
        <v>568</v>
      </c>
      <c r="J48" s="107"/>
    </row>
    <row r="49" spans="2:10" outlineLevel="1" x14ac:dyDescent="0.3">
      <c r="B49" s="109"/>
      <c r="C49" s="108"/>
      <c r="D49" s="108"/>
      <c r="E49" s="108"/>
      <c r="F49" s="108"/>
      <c r="G49" s="108"/>
      <c r="H49" s="108"/>
      <c r="I49" s="107">
        <v>72</v>
      </c>
      <c r="J49" s="107"/>
    </row>
    <row r="50" spans="2:10" outlineLevel="1" x14ac:dyDescent="0.3">
      <c r="B50" s="109"/>
      <c r="C50" s="108"/>
      <c r="D50" s="108"/>
      <c r="E50" s="108"/>
      <c r="F50" s="108"/>
      <c r="G50" s="108"/>
      <c r="H50" s="108"/>
      <c r="I50" s="110">
        <v>72</v>
      </c>
      <c r="J50" s="107"/>
    </row>
    <row r="51" spans="2:10" outlineLevel="1" x14ac:dyDescent="0.3">
      <c r="B51" s="109"/>
      <c r="C51" s="108"/>
      <c r="D51" s="108"/>
      <c r="E51" s="108"/>
      <c r="F51" s="108"/>
      <c r="G51" s="108"/>
      <c r="H51" s="108"/>
      <c r="I51" s="107">
        <f>SUM(I44:I50)</f>
        <v>2746</v>
      </c>
      <c r="J51" s="107"/>
    </row>
    <row r="52" spans="2:10" outlineLevel="1" x14ac:dyDescent="0.3">
      <c r="B52" s="109"/>
      <c r="C52" s="108"/>
      <c r="D52" s="108"/>
      <c r="E52" s="108"/>
      <c r="F52" s="108"/>
      <c r="G52" s="108"/>
      <c r="H52" s="108"/>
      <c r="I52" s="107"/>
      <c r="J52" s="107"/>
    </row>
    <row r="53" spans="2:10" outlineLevel="1" x14ac:dyDescent="0.3">
      <c r="B53" s="109"/>
      <c r="C53" s="108"/>
      <c r="D53" s="108"/>
      <c r="E53" s="108"/>
      <c r="F53" s="108"/>
      <c r="G53" s="108"/>
      <c r="H53" s="108"/>
      <c r="I53" s="107"/>
      <c r="J53" s="107"/>
    </row>
    <row r="54" spans="2:10" outlineLevel="1" x14ac:dyDescent="0.3">
      <c r="B54" s="109"/>
      <c r="C54" s="108"/>
      <c r="D54" s="108"/>
      <c r="E54" s="108"/>
      <c r="F54" s="108"/>
      <c r="G54" s="108"/>
      <c r="H54" s="108"/>
      <c r="I54" s="107"/>
      <c r="J54" s="107"/>
    </row>
    <row r="55" spans="2:10" outlineLevel="1" x14ac:dyDescent="0.3">
      <c r="B55" s="109"/>
      <c r="C55" s="108"/>
      <c r="D55" s="108"/>
      <c r="E55" s="108"/>
      <c r="F55" s="108"/>
      <c r="G55" s="108"/>
      <c r="H55" s="108"/>
      <c r="I55" s="107"/>
      <c r="J55" s="107"/>
    </row>
    <row r="56" spans="2:10" outlineLevel="1" x14ac:dyDescent="0.3">
      <c r="B56" s="109"/>
      <c r="C56" s="108"/>
      <c r="D56" s="108"/>
      <c r="E56" s="108"/>
      <c r="F56" s="108"/>
      <c r="G56" s="108"/>
      <c r="H56" s="108"/>
      <c r="I56" s="107"/>
      <c r="J56" s="107"/>
    </row>
    <row r="57" spans="2:10" outlineLevel="1" x14ac:dyDescent="0.3">
      <c r="B57" s="109"/>
      <c r="C57" s="108"/>
      <c r="D57" s="108"/>
      <c r="E57" s="108"/>
      <c r="F57" s="108"/>
      <c r="G57" s="108"/>
      <c r="H57" s="108"/>
      <c r="I57" s="107"/>
      <c r="J57" s="107"/>
    </row>
    <row r="58" spans="2:10" outlineLevel="1" x14ac:dyDescent="0.3">
      <c r="B58" s="109"/>
      <c r="C58" s="108"/>
      <c r="D58" s="108"/>
      <c r="E58" s="108"/>
      <c r="F58" s="108"/>
      <c r="G58" s="108"/>
      <c r="H58" s="108"/>
      <c r="I58" s="107"/>
      <c r="J58" s="107"/>
    </row>
    <row r="59" spans="2:10" outlineLevel="1" x14ac:dyDescent="0.3">
      <c r="B59" s="109"/>
      <c r="C59" s="108"/>
      <c r="D59" s="108"/>
      <c r="E59" s="108"/>
      <c r="F59" s="108"/>
      <c r="G59" s="108"/>
      <c r="H59" s="108"/>
      <c r="I59" s="107"/>
      <c r="J59" s="107"/>
    </row>
    <row r="60" spans="2:10" outlineLevel="1" x14ac:dyDescent="0.3">
      <c r="B60" s="109"/>
      <c r="C60" s="108"/>
      <c r="D60" s="108"/>
      <c r="E60" s="108"/>
      <c r="F60" s="108"/>
      <c r="G60" s="108"/>
      <c r="H60" s="108"/>
      <c r="I60" s="107"/>
      <c r="J60" s="107"/>
    </row>
    <row r="61" spans="2:10" outlineLevel="1" x14ac:dyDescent="0.3">
      <c r="B61" s="109"/>
      <c r="C61" s="108"/>
      <c r="D61" s="108"/>
      <c r="E61" s="108"/>
      <c r="F61" s="108"/>
      <c r="G61" s="108"/>
      <c r="H61" s="108"/>
      <c r="I61" s="107"/>
      <c r="J61" s="107"/>
    </row>
    <row r="62" spans="2:10" outlineLevel="1" x14ac:dyDescent="0.3">
      <c r="B62" s="109"/>
      <c r="C62" s="108"/>
      <c r="D62" s="108"/>
      <c r="E62" s="108"/>
      <c r="F62" s="108"/>
      <c r="G62" s="108"/>
      <c r="H62" s="108"/>
      <c r="I62" s="107"/>
      <c r="J62" s="107"/>
    </row>
    <row r="63" spans="2:10" outlineLevel="1" x14ac:dyDescent="0.3">
      <c r="B63" s="109"/>
      <c r="C63" s="108"/>
      <c r="D63" s="108"/>
      <c r="E63" s="108"/>
      <c r="F63" s="108"/>
      <c r="G63" s="108"/>
      <c r="H63" s="108"/>
      <c r="I63" s="107"/>
      <c r="J63" s="107"/>
    </row>
    <row r="64" spans="2:10" outlineLevel="1" x14ac:dyDescent="0.3">
      <c r="B64" s="109"/>
      <c r="C64" s="108"/>
      <c r="D64" s="108"/>
      <c r="E64" s="108"/>
      <c r="F64" s="108"/>
      <c r="G64" s="108"/>
      <c r="H64" s="108"/>
      <c r="I64" s="107"/>
      <c r="J64" s="107"/>
    </row>
    <row r="65" spans="1:10" outlineLevel="1" x14ac:dyDescent="0.3">
      <c r="B65" s="109"/>
      <c r="C65" s="108"/>
      <c r="D65" s="108"/>
      <c r="E65" s="108"/>
      <c r="F65" s="108"/>
      <c r="G65" s="108"/>
      <c r="H65" s="108"/>
      <c r="I65" s="107"/>
      <c r="J65" s="107"/>
    </row>
    <row r="66" spans="1:10" outlineLevel="1" x14ac:dyDescent="0.3">
      <c r="B66" s="109"/>
      <c r="C66" s="108"/>
      <c r="D66" s="108"/>
      <c r="E66" s="108"/>
      <c r="F66" s="108"/>
      <c r="G66" s="108"/>
      <c r="H66" s="108"/>
      <c r="I66" s="107"/>
      <c r="J66" s="107"/>
    </row>
    <row r="67" spans="1:10" outlineLevel="1" x14ac:dyDescent="0.3">
      <c r="B67" s="109"/>
      <c r="C67" s="108"/>
      <c r="D67" s="108"/>
      <c r="E67" s="108"/>
      <c r="F67" s="108"/>
      <c r="G67" s="108"/>
      <c r="H67" s="108"/>
      <c r="I67" s="107"/>
      <c r="J67" s="107"/>
    </row>
    <row r="68" spans="1:10" outlineLevel="1" x14ac:dyDescent="0.3">
      <c r="B68" s="109"/>
      <c r="C68" s="108"/>
      <c r="D68" s="108"/>
      <c r="E68" s="108"/>
      <c r="F68" s="108"/>
      <c r="G68" s="108"/>
      <c r="H68" s="108"/>
      <c r="I68" s="107"/>
      <c r="J68" s="107"/>
    </row>
    <row r="69" spans="1:10" outlineLevel="1" x14ac:dyDescent="0.3">
      <c r="B69" s="109"/>
      <c r="C69" s="108"/>
      <c r="D69" s="108"/>
      <c r="E69" s="108"/>
      <c r="F69" s="108"/>
      <c r="G69" s="108"/>
      <c r="H69" s="108"/>
      <c r="I69" s="107"/>
      <c r="J69" s="107"/>
    </row>
    <row r="70" spans="1:10" outlineLevel="1" x14ac:dyDescent="0.3">
      <c r="B70" s="109"/>
      <c r="C70" s="108"/>
      <c r="D70" s="108"/>
      <c r="E70" s="108"/>
      <c r="F70" s="108"/>
      <c r="G70" s="108"/>
      <c r="H70" s="108"/>
      <c r="I70" s="107"/>
      <c r="J70" s="107"/>
    </row>
    <row r="71" spans="1:10" outlineLevel="1" x14ac:dyDescent="0.3">
      <c r="B71" s="109"/>
      <c r="C71" s="108"/>
      <c r="D71" s="108"/>
      <c r="E71" s="108"/>
      <c r="F71" s="108"/>
      <c r="G71" s="108"/>
      <c r="H71" s="108"/>
      <c r="I71" s="107"/>
      <c r="J71" s="107"/>
    </row>
    <row r="72" spans="1:10" outlineLevel="1" x14ac:dyDescent="0.3">
      <c r="B72" s="109"/>
      <c r="C72" s="108"/>
      <c r="D72" s="108"/>
      <c r="E72" s="108"/>
      <c r="F72" s="108"/>
      <c r="G72" s="108"/>
      <c r="H72" s="108"/>
      <c r="I72" s="107"/>
      <c r="J72" s="107"/>
    </row>
    <row r="73" spans="1:10" x14ac:dyDescent="0.3">
      <c r="A73" s="106"/>
      <c r="I73" s="105"/>
    </row>
    <row r="74" spans="1:10" x14ac:dyDescent="0.3">
      <c r="I74" s="105"/>
    </row>
    <row r="78" spans="1:10" x14ac:dyDescent="0.3">
      <c r="A78" s="386"/>
      <c r="B78" s="371"/>
      <c r="C78" s="371"/>
      <c r="D78" s="371"/>
      <c r="E78" s="371"/>
      <c r="F78" s="371"/>
      <c r="G78" s="371"/>
      <c r="H78" s="371"/>
      <c r="I78" s="371"/>
    </row>
  </sheetData>
  <mergeCells count="5">
    <mergeCell ref="A1:I1"/>
    <mergeCell ref="A2:I2"/>
    <mergeCell ref="A3:I3"/>
    <mergeCell ref="A78:I78"/>
    <mergeCell ref="H29:I2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8E6B-D3D7-4408-843B-68C4D4151A3E}">
  <dimension ref="A1:D34"/>
  <sheetViews>
    <sheetView zoomScale="108" workbookViewId="0">
      <selection activeCell="B4" sqref="B4"/>
    </sheetView>
  </sheetViews>
  <sheetFormatPr defaultRowHeight="15.6" x14ac:dyDescent="0.3"/>
  <cols>
    <col min="1" max="1" width="21.69921875" bestFit="1" customWidth="1"/>
    <col min="2" max="2" width="12.3984375" bestFit="1" customWidth="1"/>
    <col min="3" max="3" width="13.5" bestFit="1" customWidth="1"/>
  </cols>
  <sheetData>
    <row r="1" spans="1:4" x14ac:dyDescent="0.3">
      <c r="A1" s="382"/>
      <c r="B1" s="382"/>
    </row>
    <row r="3" spans="1:4" x14ac:dyDescent="0.3">
      <c r="B3" s="43"/>
    </row>
    <row r="4" spans="1:4" x14ac:dyDescent="0.3">
      <c r="A4" t="s">
        <v>90</v>
      </c>
      <c r="B4" s="1">
        <f>0.33+(1.16/24)</f>
        <v>0.37833333333333335</v>
      </c>
      <c r="C4" s="2">
        <f>B4*24</f>
        <v>9.08</v>
      </c>
      <c r="D4" t="s">
        <v>89</v>
      </c>
    </row>
    <row r="5" spans="1:4" x14ac:dyDescent="0.3">
      <c r="A5" t="s">
        <v>88</v>
      </c>
      <c r="B5" s="28">
        <f>22087/4220/24</f>
        <v>0.21807859399684046</v>
      </c>
      <c r="C5" s="28">
        <f>B5*24</f>
        <v>5.2338862559241708</v>
      </c>
      <c r="D5" t="s">
        <v>87</v>
      </c>
    </row>
    <row r="6" spans="1:4" x14ac:dyDescent="0.3">
      <c r="A6" t="s">
        <v>86</v>
      </c>
      <c r="B6" s="2">
        <f>B4-B5</f>
        <v>0.1602547393364929</v>
      </c>
      <c r="C6" s="2">
        <f>C4-C5</f>
        <v>3.8461137440758293</v>
      </c>
    </row>
    <row r="7" spans="1:4" x14ac:dyDescent="0.3">
      <c r="A7" t="s">
        <v>72</v>
      </c>
      <c r="B7" s="43"/>
      <c r="C7" s="44">
        <v>118703</v>
      </c>
    </row>
    <row r="8" spans="1:4" x14ac:dyDescent="0.3">
      <c r="A8" t="s">
        <v>85</v>
      </c>
      <c r="B8" s="2"/>
      <c r="C8" s="52">
        <f>C7/C6</f>
        <v>30863.101795374172</v>
      </c>
    </row>
    <row r="9" spans="1:4" x14ac:dyDescent="0.3">
      <c r="A9" t="s">
        <v>84</v>
      </c>
      <c r="B9" s="2"/>
      <c r="C9" s="52">
        <v>4220</v>
      </c>
    </row>
    <row r="10" spans="1:4" x14ac:dyDescent="0.3">
      <c r="A10" t="s">
        <v>83</v>
      </c>
      <c r="B10" s="2"/>
      <c r="C10" s="21">
        <f>C8/C9</f>
        <v>7.3135312311313205</v>
      </c>
    </row>
    <row r="11" spans="1:4" x14ac:dyDescent="0.3">
      <c r="A11" t="s">
        <v>82</v>
      </c>
      <c r="B11" s="2"/>
      <c r="C11" s="44">
        <f>C9*C6</f>
        <v>16230.6</v>
      </c>
    </row>
    <row r="12" spans="1:4" x14ac:dyDescent="0.3">
      <c r="A12" s="49" t="s">
        <v>81</v>
      </c>
      <c r="B12" s="53"/>
      <c r="C12" s="54">
        <v>2</v>
      </c>
      <c r="D12" t="s">
        <v>91</v>
      </c>
    </row>
    <row r="13" spans="1:4" x14ac:dyDescent="0.3">
      <c r="A13" t="s">
        <v>80</v>
      </c>
      <c r="B13" s="2"/>
      <c r="C13" s="44">
        <f>C11*C12</f>
        <v>32461.200000000001</v>
      </c>
    </row>
    <row r="14" spans="1:4" x14ac:dyDescent="0.3">
      <c r="B14" s="2"/>
      <c r="C14" s="21"/>
    </row>
    <row r="16" spans="1:4" x14ac:dyDescent="0.3">
      <c r="B16" t="s">
        <v>3</v>
      </c>
    </row>
    <row r="17" spans="1:3" x14ac:dyDescent="0.3">
      <c r="A17" t="s">
        <v>68</v>
      </c>
      <c r="B17" s="1">
        <v>0.26</v>
      </c>
    </row>
    <row r="18" spans="1:3" x14ac:dyDescent="0.3">
      <c r="A18" t="s">
        <v>67</v>
      </c>
      <c r="B18" s="1">
        <v>5.5E-2</v>
      </c>
    </row>
    <row r="19" spans="1:3" x14ac:dyDescent="0.3">
      <c r="A19" t="s">
        <v>0</v>
      </c>
      <c r="B19" s="2">
        <f>B5</f>
        <v>0.21807859399684046</v>
      </c>
    </row>
    <row r="20" spans="1:3" x14ac:dyDescent="0.3">
      <c r="A20" s="49" t="s">
        <v>40</v>
      </c>
      <c r="B20" s="51">
        <v>0.04</v>
      </c>
      <c r="C20" t="s">
        <v>70</v>
      </c>
    </row>
    <row r="21" spans="1:3" x14ac:dyDescent="0.3">
      <c r="A21" s="49" t="s">
        <v>69</v>
      </c>
      <c r="B21" s="50">
        <v>0.03</v>
      </c>
      <c r="C21" t="s">
        <v>70</v>
      </c>
    </row>
    <row r="22" spans="1:3" x14ac:dyDescent="0.3">
      <c r="A22" t="s">
        <v>71</v>
      </c>
      <c r="B22" s="28">
        <f>0.42/24</f>
        <v>1.7499999999999998E-2</v>
      </c>
    </row>
    <row r="23" spans="1:3" x14ac:dyDescent="0.3">
      <c r="A23" t="s">
        <v>57</v>
      </c>
      <c r="B23" s="2">
        <f>SUM(B17:B22)</f>
        <v>0.62057859399684046</v>
      </c>
    </row>
    <row r="24" spans="1:3" x14ac:dyDescent="0.3">
      <c r="A24" t="s">
        <v>41</v>
      </c>
      <c r="B24" s="2">
        <f>B23*24</f>
        <v>14.893886255924171</v>
      </c>
    </row>
    <row r="25" spans="1:3" x14ac:dyDescent="0.3">
      <c r="A25" t="s">
        <v>42</v>
      </c>
      <c r="B25" s="28">
        <v>28</v>
      </c>
    </row>
    <row r="26" spans="1:3" x14ac:dyDescent="0.3">
      <c r="A26" t="s">
        <v>79</v>
      </c>
      <c r="B26" s="2">
        <f>B25-B24</f>
        <v>13.106113744075829</v>
      </c>
      <c r="C26" s="2"/>
    </row>
    <row r="27" spans="1:3" x14ac:dyDescent="0.3">
      <c r="A27" t="s">
        <v>78</v>
      </c>
      <c r="B27" s="49">
        <v>500</v>
      </c>
      <c r="C27" t="s">
        <v>77</v>
      </c>
    </row>
    <row r="28" spans="1:3" x14ac:dyDescent="0.3">
      <c r="A28" t="s">
        <v>76</v>
      </c>
      <c r="B28" s="48">
        <f>B27*B26</f>
        <v>6553.0568720379142</v>
      </c>
    </row>
    <row r="30" spans="1:3" x14ac:dyDescent="0.3">
      <c r="A30" t="str">
        <f>A13</f>
        <v>Credits per year</v>
      </c>
      <c r="B30" s="48">
        <f>C13</f>
        <v>32461.200000000001</v>
      </c>
    </row>
    <row r="31" spans="1:3" x14ac:dyDescent="0.3">
      <c r="A31" t="s">
        <v>75</v>
      </c>
      <c r="B31" s="47">
        <f>B28*12</f>
        <v>78636.682464454963</v>
      </c>
    </row>
    <row r="32" spans="1:3" x14ac:dyDescent="0.3">
      <c r="B32" s="46">
        <f>SUM(B30:B31)</f>
        <v>111097.88246445496</v>
      </c>
    </row>
    <row r="33" spans="1:3" x14ac:dyDescent="0.3">
      <c r="A33" t="s">
        <v>74</v>
      </c>
      <c r="B33" s="45">
        <f>C7/B32</f>
        <v>1.0684542078286527</v>
      </c>
      <c r="C33" t="s">
        <v>73</v>
      </c>
    </row>
    <row r="34" spans="1:3" x14ac:dyDescent="0.3">
      <c r="B34" s="44"/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8F53-5FDB-284C-9B6F-F26288495F14}">
  <dimension ref="A1:N42"/>
  <sheetViews>
    <sheetView workbookViewId="0">
      <selection activeCell="E16" sqref="E16"/>
    </sheetView>
  </sheetViews>
  <sheetFormatPr defaultColWidth="11" defaultRowHeight="15.6" x14ac:dyDescent="0.3"/>
  <cols>
    <col min="1" max="1" width="21.5" bestFit="1" customWidth="1"/>
    <col min="2" max="2" width="18.19921875" customWidth="1"/>
    <col min="3" max="3" width="12.5" customWidth="1"/>
    <col min="4" max="4" width="17.69921875" customWidth="1"/>
    <col min="5" max="5" width="26.19921875" customWidth="1"/>
    <col min="6" max="6" width="18.19921875" customWidth="1"/>
    <col min="7" max="7" width="11.5" bestFit="1" customWidth="1"/>
    <col min="8" max="8" width="18.19921875" customWidth="1"/>
    <col min="9" max="9" width="18.69921875" customWidth="1"/>
    <col min="10" max="10" width="20.19921875" customWidth="1"/>
    <col min="11" max="11" width="17.19921875" customWidth="1"/>
    <col min="12" max="12" width="23.19921875" customWidth="1"/>
    <col min="13" max="13" width="24.19921875" customWidth="1"/>
    <col min="14" max="14" width="19.69921875" customWidth="1"/>
  </cols>
  <sheetData>
    <row r="1" spans="1:14" x14ac:dyDescent="0.3">
      <c r="A1" t="s">
        <v>46</v>
      </c>
      <c r="B1" t="s">
        <v>3</v>
      </c>
      <c r="E1" t="s">
        <v>47</v>
      </c>
      <c r="J1" s="35">
        <v>65000</v>
      </c>
    </row>
    <row r="2" spans="1:14" x14ac:dyDescent="0.3">
      <c r="A2" t="s">
        <v>39</v>
      </c>
      <c r="B2" s="1">
        <v>0.33</v>
      </c>
      <c r="C2">
        <v>65000</v>
      </c>
      <c r="D2" s="3">
        <f>SUM(B6*C2)</f>
        <v>62056.267196610796</v>
      </c>
      <c r="E2" s="1" t="s">
        <v>48</v>
      </c>
      <c r="F2" s="2">
        <v>0.28050000000000003</v>
      </c>
      <c r="G2" s="2"/>
      <c r="J2" t="s">
        <v>60</v>
      </c>
    </row>
    <row r="3" spans="1:14" x14ac:dyDescent="0.3">
      <c r="A3" t="s">
        <v>0</v>
      </c>
      <c r="B3" s="1">
        <v>0.55000000000000004</v>
      </c>
      <c r="C3" s="2">
        <f>B3*24</f>
        <v>13.200000000000001</v>
      </c>
      <c r="D3" s="3"/>
      <c r="E3" s="1" t="s">
        <v>49</v>
      </c>
      <c r="F3" s="2">
        <v>2.5000000000000001E-2</v>
      </c>
      <c r="N3" s="3"/>
    </row>
    <row r="4" spans="1:14" x14ac:dyDescent="0.3">
      <c r="A4" t="s">
        <v>40</v>
      </c>
      <c r="B4" s="1">
        <f>'RAW INGREDIENTS'!L16</f>
        <v>4.4711803024781338E-2</v>
      </c>
      <c r="D4" s="3"/>
      <c r="E4" s="1" t="s">
        <v>50</v>
      </c>
      <c r="F4" s="2" t="s">
        <v>51</v>
      </c>
      <c r="G4">
        <v>3000</v>
      </c>
      <c r="H4">
        <f>SUM(G4/J1)</f>
        <v>4.6153846153846156E-2</v>
      </c>
      <c r="J4" t="s">
        <v>61</v>
      </c>
      <c r="K4" s="2">
        <f>SUM(B2)</f>
        <v>0.33</v>
      </c>
      <c r="L4">
        <v>65000</v>
      </c>
      <c r="M4" s="2">
        <f>SUM(L4*K4)</f>
        <v>21450</v>
      </c>
    </row>
    <row r="5" spans="1:14" x14ac:dyDescent="0.3">
      <c r="A5" t="s">
        <v>4</v>
      </c>
      <c r="B5" s="28">
        <v>0.03</v>
      </c>
      <c r="D5" s="3"/>
      <c r="E5" s="1" t="s">
        <v>52</v>
      </c>
      <c r="F5" s="29">
        <v>1200</v>
      </c>
      <c r="G5" s="5"/>
      <c r="H5" s="34">
        <f>SUM(F5/J1)</f>
        <v>1.8461538461538463E-2</v>
      </c>
      <c r="I5" s="5"/>
      <c r="J5" t="s">
        <v>62</v>
      </c>
      <c r="K5" s="2">
        <f>SUM(B3:B5)</f>
        <v>0.62471180302478135</v>
      </c>
      <c r="L5">
        <v>45000</v>
      </c>
      <c r="M5" s="2">
        <f>SUM(L5*K5)</f>
        <v>28112.031136115162</v>
      </c>
    </row>
    <row r="6" spans="1:14" x14ac:dyDescent="0.3">
      <c r="B6" s="27">
        <f>SUM(B2:B5)</f>
        <v>0.95471180302478142</v>
      </c>
      <c r="E6" s="2"/>
      <c r="F6" s="2"/>
      <c r="G6" s="1"/>
      <c r="H6" s="2"/>
      <c r="I6" s="1"/>
      <c r="M6" s="2">
        <f>SUM(M4:M5)</f>
        <v>49562.031136115162</v>
      </c>
    </row>
    <row r="7" spans="1:14" x14ac:dyDescent="0.3">
      <c r="E7" s="2" t="s">
        <v>56</v>
      </c>
      <c r="F7" s="2"/>
      <c r="G7" s="1"/>
      <c r="H7" s="29">
        <v>0.03</v>
      </c>
      <c r="I7" s="1"/>
    </row>
    <row r="8" spans="1:14" x14ac:dyDescent="0.3">
      <c r="E8" s="1"/>
      <c r="F8" s="2"/>
      <c r="G8" s="1"/>
    </row>
    <row r="9" spans="1:14" x14ac:dyDescent="0.3">
      <c r="E9" s="32" t="s">
        <v>53</v>
      </c>
      <c r="F9" s="33">
        <v>0.09</v>
      </c>
      <c r="G9" s="3">
        <v>65000</v>
      </c>
      <c r="H9" s="1">
        <f>SUM(F9*G9)</f>
        <v>5850</v>
      </c>
    </row>
    <row r="10" spans="1:14" x14ac:dyDescent="0.3">
      <c r="E10" s="32" t="s">
        <v>54</v>
      </c>
      <c r="F10" s="33">
        <f>SUM(B6+F9)</f>
        <v>1.0447118030247815</v>
      </c>
      <c r="G10" s="3"/>
    </row>
    <row r="11" spans="1:14" x14ac:dyDescent="0.3">
      <c r="E11" s="32" t="s">
        <v>55</v>
      </c>
      <c r="F11" s="33">
        <f>SUM(F10*24)</f>
        <v>25.073083272594758</v>
      </c>
    </row>
    <row r="13" spans="1:14" x14ac:dyDescent="0.3">
      <c r="D13" s="3"/>
      <c r="E13" s="1"/>
      <c r="F13" s="2"/>
    </row>
    <row r="14" spans="1:14" x14ac:dyDescent="0.3">
      <c r="D14" s="3"/>
      <c r="E14" s="1"/>
      <c r="F14" s="2"/>
    </row>
    <row r="15" spans="1:14" x14ac:dyDescent="0.3">
      <c r="C15" t="s">
        <v>58</v>
      </c>
      <c r="D15" s="3" t="s">
        <v>59</v>
      </c>
      <c r="E15" s="1"/>
      <c r="F15" s="2"/>
    </row>
    <row r="16" spans="1:14" x14ac:dyDescent="0.3">
      <c r="A16" t="s">
        <v>20</v>
      </c>
      <c r="C16" s="35">
        <v>45000</v>
      </c>
      <c r="D16" s="3">
        <f>SUM(C16/24)</f>
        <v>1875</v>
      </c>
      <c r="E16" s="1"/>
      <c r="F16" s="2"/>
    </row>
    <row r="17" spans="1:9" x14ac:dyDescent="0.3">
      <c r="A17" t="s">
        <v>57</v>
      </c>
      <c r="B17" s="39">
        <f>SUM(B6)</f>
        <v>0.95471180302478142</v>
      </c>
      <c r="C17" s="1">
        <f>SUM(B17*C16)</f>
        <v>42962.031136115162</v>
      </c>
      <c r="D17" s="3"/>
      <c r="E17" s="1"/>
      <c r="F17" s="2"/>
      <c r="G17" s="5"/>
      <c r="H17" s="5"/>
      <c r="I17" s="5"/>
    </row>
    <row r="18" spans="1:9" x14ac:dyDescent="0.3">
      <c r="A18" s="30" t="s">
        <v>41</v>
      </c>
      <c r="B18" s="31">
        <f>B6*24</f>
        <v>22.913083272594754</v>
      </c>
      <c r="C18" s="1"/>
      <c r="E18" s="2"/>
      <c r="F18" s="2"/>
      <c r="G18" s="1"/>
      <c r="H18" s="2"/>
      <c r="I18" s="1"/>
    </row>
    <row r="19" spans="1:9" x14ac:dyDescent="0.3">
      <c r="A19" t="s">
        <v>42</v>
      </c>
      <c r="B19" s="28">
        <v>32</v>
      </c>
      <c r="C19" s="36">
        <f>SUM(B19*D16)</f>
        <v>60000</v>
      </c>
      <c r="D19" s="37"/>
      <c r="E19" s="2"/>
    </row>
    <row r="20" spans="1:9" x14ac:dyDescent="0.3">
      <c r="A20" t="s">
        <v>43</v>
      </c>
      <c r="B20" s="2">
        <f>B19-B18</f>
        <v>9.0869167274052458</v>
      </c>
      <c r="C20" s="2">
        <f>SUM(C19-C17)</f>
        <v>17037.968863884838</v>
      </c>
    </row>
    <row r="21" spans="1:9" x14ac:dyDescent="0.3">
      <c r="D21" s="3"/>
      <c r="E21" s="1"/>
      <c r="F21" s="2"/>
    </row>
    <row r="22" spans="1:9" x14ac:dyDescent="0.3">
      <c r="A22" t="s">
        <v>44</v>
      </c>
      <c r="B22" s="1">
        <v>4</v>
      </c>
      <c r="D22" s="3"/>
      <c r="E22" s="1"/>
      <c r="F22" s="2"/>
    </row>
    <row r="23" spans="1:9" x14ac:dyDescent="0.3">
      <c r="A23" t="s">
        <v>45</v>
      </c>
      <c r="B23" s="2">
        <v>1.2</v>
      </c>
      <c r="D23" s="3"/>
      <c r="E23" s="1"/>
      <c r="F23" s="2"/>
    </row>
    <row r="24" spans="1:9" x14ac:dyDescent="0.3">
      <c r="B24" s="2">
        <f>B22-B23</f>
        <v>2.8</v>
      </c>
      <c r="C24">
        <v>300</v>
      </c>
      <c r="D24" s="3">
        <f>SUM(B24*C24)</f>
        <v>840</v>
      </c>
      <c r="E24" s="1"/>
      <c r="F24" s="2"/>
    </row>
    <row r="25" spans="1:9" x14ac:dyDescent="0.3">
      <c r="D25" s="3"/>
      <c r="E25" s="1"/>
      <c r="F25" s="2"/>
      <c r="G25" s="5"/>
      <c r="H25" s="5"/>
      <c r="I25" s="5"/>
    </row>
    <row r="26" spans="1:9" x14ac:dyDescent="0.3">
      <c r="E26" s="2">
        <v>2017</v>
      </c>
      <c r="F26" s="2">
        <v>18</v>
      </c>
      <c r="G26" s="1"/>
      <c r="H26" s="2"/>
      <c r="I26" s="1"/>
    </row>
    <row r="29" spans="1:9" x14ac:dyDescent="0.3">
      <c r="A29" s="41"/>
      <c r="D29" s="3"/>
      <c r="E29" s="1"/>
      <c r="F29" s="2"/>
    </row>
    <row r="30" spans="1:9" x14ac:dyDescent="0.3">
      <c r="D30" s="3"/>
      <c r="E30" s="1"/>
      <c r="F30" s="2"/>
    </row>
    <row r="31" spans="1:9" x14ac:dyDescent="0.3">
      <c r="D31" s="3"/>
      <c r="E31" s="1"/>
      <c r="F31" s="2"/>
    </row>
    <row r="32" spans="1:9" x14ac:dyDescent="0.3">
      <c r="C32">
        <v>35934</v>
      </c>
      <c r="D32" s="3"/>
      <c r="E32" s="1"/>
      <c r="F32" s="2"/>
    </row>
    <row r="33" spans="3:9" x14ac:dyDescent="0.3">
      <c r="C33">
        <v>128000</v>
      </c>
      <c r="D33" s="3"/>
      <c r="E33" s="1"/>
      <c r="F33" s="2"/>
      <c r="G33" s="5"/>
      <c r="H33" s="5"/>
      <c r="I33" s="5"/>
    </row>
    <row r="34" spans="3:9" x14ac:dyDescent="0.3">
      <c r="C34">
        <f>C33*12</f>
        <v>1536000</v>
      </c>
      <c r="E34" s="2"/>
      <c r="F34" s="2"/>
      <c r="G34" s="1"/>
      <c r="H34" s="2"/>
      <c r="I34" s="1"/>
    </row>
    <row r="35" spans="3:9" x14ac:dyDescent="0.3">
      <c r="C35">
        <f>C34/128</f>
        <v>12000</v>
      </c>
    </row>
    <row r="36" spans="3:9" x14ac:dyDescent="0.3">
      <c r="C36">
        <f>1500*7</f>
        <v>10500</v>
      </c>
    </row>
    <row r="37" spans="3:9" x14ac:dyDescent="0.3">
      <c r="D37" s="3"/>
      <c r="E37" s="1"/>
      <c r="F37" s="2"/>
    </row>
    <row r="38" spans="3:9" x14ac:dyDescent="0.3">
      <c r="D38" s="3"/>
      <c r="E38" s="1"/>
      <c r="F38" s="2"/>
    </row>
    <row r="39" spans="3:9" x14ac:dyDescent="0.3">
      <c r="D39" s="3"/>
      <c r="E39" s="1"/>
      <c r="F39" s="2"/>
    </row>
    <row r="40" spans="3:9" x14ac:dyDescent="0.3">
      <c r="D40" s="3"/>
      <c r="E40" s="1"/>
      <c r="F40" s="2"/>
    </row>
    <row r="41" spans="3:9" x14ac:dyDescent="0.3">
      <c r="D41" s="3"/>
      <c r="E41" s="1"/>
      <c r="F41" s="2"/>
      <c r="G41" s="5"/>
      <c r="H41" s="5"/>
      <c r="I41" s="5"/>
    </row>
    <row r="42" spans="3:9" x14ac:dyDescent="0.3">
      <c r="E42" s="2"/>
      <c r="F42" s="2"/>
      <c r="G42" s="1"/>
      <c r="H42" s="2"/>
      <c r="I4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9C5F-968A-044B-AD71-B339EF9F259F}">
  <dimension ref="A3:Y35"/>
  <sheetViews>
    <sheetView workbookViewId="0">
      <selection activeCell="J22" sqref="J22"/>
    </sheetView>
  </sheetViews>
  <sheetFormatPr defaultColWidth="11" defaultRowHeight="15.6" x14ac:dyDescent="0.3"/>
  <cols>
    <col min="1" max="1" width="42.5" customWidth="1"/>
    <col min="8" max="8" width="5.69921875" customWidth="1"/>
    <col min="9" max="10" width="12" customWidth="1"/>
    <col min="11" max="11" width="25.69921875" bestFit="1" customWidth="1"/>
    <col min="12" max="12" width="12.19921875" customWidth="1"/>
    <col min="14" max="14" width="17.69921875" customWidth="1"/>
    <col min="19" max="19" width="19.19921875" customWidth="1"/>
  </cols>
  <sheetData>
    <row r="3" spans="1:20" x14ac:dyDescent="0.3">
      <c r="A3" s="11" t="s">
        <v>14</v>
      </c>
      <c r="B3" s="11"/>
      <c r="C3" s="11" t="s">
        <v>13</v>
      </c>
      <c r="D3" s="13" t="s">
        <v>12</v>
      </c>
      <c r="E3" s="14" t="s">
        <v>11</v>
      </c>
      <c r="F3" s="14" t="s">
        <v>26</v>
      </c>
      <c r="G3" t="s">
        <v>34</v>
      </c>
      <c r="H3" s="14" t="s">
        <v>17</v>
      </c>
      <c r="I3" s="14" t="s">
        <v>20</v>
      </c>
      <c r="J3" s="14" t="s">
        <v>1</v>
      </c>
      <c r="K3" s="14" t="s">
        <v>36</v>
      </c>
      <c r="L3" s="14" t="s">
        <v>18</v>
      </c>
      <c r="N3" t="s">
        <v>25</v>
      </c>
      <c r="O3" s="25">
        <v>164640</v>
      </c>
      <c r="S3" t="s">
        <v>27</v>
      </c>
      <c r="T3">
        <v>1</v>
      </c>
    </row>
    <row r="4" spans="1:20" x14ac:dyDescent="0.3">
      <c r="A4" s="11" t="s">
        <v>6</v>
      </c>
      <c r="B4" s="11" t="s">
        <v>5</v>
      </c>
      <c r="C4" s="12">
        <v>15.5</v>
      </c>
      <c r="D4" s="11">
        <v>3</v>
      </c>
      <c r="E4" s="15">
        <f>SUM(C4/3)</f>
        <v>5.166666666666667</v>
      </c>
      <c r="F4" s="15">
        <v>5.17</v>
      </c>
      <c r="G4" s="2">
        <f>F4/6</f>
        <v>0.86166666666666669</v>
      </c>
      <c r="H4" s="9">
        <v>0.2</v>
      </c>
      <c r="I4" s="23">
        <f>SUM(O3*H4)</f>
        <v>32928</v>
      </c>
      <c r="J4" s="23">
        <f>SUM(I4/24)</f>
        <v>1372</v>
      </c>
      <c r="K4" s="20">
        <f>$T$7*H4</f>
        <v>514.5</v>
      </c>
      <c r="L4" s="15">
        <f>SUM(K4*G4)</f>
        <v>443.32749999999999</v>
      </c>
      <c r="N4" t="s">
        <v>28</v>
      </c>
      <c r="O4" s="26">
        <f>O3*12</f>
        <v>1975680</v>
      </c>
      <c r="S4" t="s">
        <v>30</v>
      </c>
      <c r="T4">
        <v>128</v>
      </c>
    </row>
    <row r="5" spans="1:20" x14ac:dyDescent="0.3">
      <c r="A5" s="11" t="s">
        <v>7</v>
      </c>
      <c r="B5" s="11" t="s">
        <v>5</v>
      </c>
      <c r="C5" s="12">
        <v>22.5</v>
      </c>
      <c r="D5" s="11">
        <v>3</v>
      </c>
      <c r="E5" s="15">
        <f t="shared" ref="E5:E10" si="0">SUM(C5/3)</f>
        <v>7.5</v>
      </c>
      <c r="F5" s="14">
        <v>6.72</v>
      </c>
      <c r="G5" s="2">
        <f t="shared" ref="G5:G10" si="1">F5/6</f>
        <v>1.1199999999999999</v>
      </c>
      <c r="H5" s="16">
        <v>0.2</v>
      </c>
      <c r="I5" s="23">
        <f>SUM(O3*H5)</f>
        <v>32928</v>
      </c>
      <c r="J5" s="23">
        <f t="shared" ref="J5:J10" si="2">SUM(I5/24)</f>
        <v>1372</v>
      </c>
      <c r="K5" s="20">
        <f>$T$7*H5</f>
        <v>514.5</v>
      </c>
      <c r="L5" s="15">
        <f t="shared" ref="L5:L10" si="3">SUM(K5*G5)</f>
        <v>576.2399999999999</v>
      </c>
      <c r="N5" t="s">
        <v>2</v>
      </c>
      <c r="O5" s="4">
        <f>O4/128</f>
        <v>15435</v>
      </c>
      <c r="S5" t="s">
        <v>29</v>
      </c>
      <c r="T5">
        <f>T4*6</f>
        <v>768</v>
      </c>
    </row>
    <row r="6" spans="1:20" x14ac:dyDescent="0.3">
      <c r="A6" s="11" t="s">
        <v>8</v>
      </c>
      <c r="B6" s="11" t="s">
        <v>5</v>
      </c>
      <c r="C6" s="12">
        <v>22.69</v>
      </c>
      <c r="D6" s="11">
        <v>3</v>
      </c>
      <c r="E6" s="15">
        <f t="shared" si="0"/>
        <v>7.5633333333333335</v>
      </c>
      <c r="F6" s="14">
        <v>6.94</v>
      </c>
      <c r="G6" s="2">
        <f t="shared" si="1"/>
        <v>1.1566666666666667</v>
      </c>
      <c r="H6" s="16">
        <v>0.15</v>
      </c>
      <c r="I6" s="23">
        <f>SUM(O3*H6)</f>
        <v>24696</v>
      </c>
      <c r="J6" s="23">
        <f t="shared" si="2"/>
        <v>1029</v>
      </c>
      <c r="K6" s="20">
        <f>$T$7*H6</f>
        <v>385.875</v>
      </c>
      <c r="L6" s="15">
        <f t="shared" si="3"/>
        <v>446.32875000000001</v>
      </c>
      <c r="S6" t="s">
        <v>33</v>
      </c>
      <c r="T6">
        <f>T5/12</f>
        <v>64</v>
      </c>
    </row>
    <row r="7" spans="1:20" ht="18" customHeight="1" x14ac:dyDescent="0.3">
      <c r="A7" s="11" t="s">
        <v>9</v>
      </c>
      <c r="B7" s="11" t="s">
        <v>5</v>
      </c>
      <c r="C7" s="12">
        <v>22.55</v>
      </c>
      <c r="D7" s="11">
        <v>3</v>
      </c>
      <c r="E7" s="15">
        <f t="shared" si="0"/>
        <v>7.5166666666666666</v>
      </c>
      <c r="F7" s="18">
        <v>7.44</v>
      </c>
      <c r="G7" s="2">
        <f t="shared" si="1"/>
        <v>1.24</v>
      </c>
      <c r="H7" s="9">
        <v>0.15</v>
      </c>
      <c r="I7" s="23">
        <f>SUM(O3*H7)</f>
        <v>24696</v>
      </c>
      <c r="J7" s="23">
        <f t="shared" si="2"/>
        <v>1029</v>
      </c>
      <c r="K7" s="20">
        <f>$T$7*H7</f>
        <v>385.875</v>
      </c>
      <c r="L7" s="15">
        <f>SUM(K7*G7)</f>
        <v>478.48500000000001</v>
      </c>
      <c r="S7" t="s">
        <v>38</v>
      </c>
      <c r="T7" s="21">
        <f>O3/T6</f>
        <v>2572.5</v>
      </c>
    </row>
    <row r="8" spans="1:20" x14ac:dyDescent="0.3">
      <c r="A8" s="11" t="s">
        <v>10</v>
      </c>
      <c r="B8" s="11" t="s">
        <v>5</v>
      </c>
      <c r="C8" s="12">
        <v>25.25</v>
      </c>
      <c r="D8" s="11">
        <v>2</v>
      </c>
      <c r="E8" s="15">
        <f t="shared" si="0"/>
        <v>8.4166666666666661</v>
      </c>
      <c r="F8" s="18">
        <v>7.44</v>
      </c>
      <c r="G8" s="2">
        <f t="shared" si="1"/>
        <v>1.24</v>
      </c>
      <c r="H8" s="16">
        <v>0.1</v>
      </c>
      <c r="I8" s="23">
        <f>SUM(O3*H8)</f>
        <v>16464</v>
      </c>
      <c r="J8" s="23">
        <f t="shared" si="2"/>
        <v>686</v>
      </c>
      <c r="K8" s="20">
        <f>$T$7*H8</f>
        <v>257.25</v>
      </c>
      <c r="L8" s="15">
        <f t="shared" si="3"/>
        <v>318.99</v>
      </c>
      <c r="S8" t="s">
        <v>35</v>
      </c>
      <c r="T8" s="21">
        <f>T7/6</f>
        <v>428.75</v>
      </c>
    </row>
    <row r="9" spans="1:20" x14ac:dyDescent="0.3">
      <c r="A9" s="11" t="s">
        <v>21</v>
      </c>
      <c r="B9" s="11" t="s">
        <v>5</v>
      </c>
      <c r="C9" s="12">
        <v>23.75</v>
      </c>
      <c r="D9" s="11">
        <v>3</v>
      </c>
      <c r="E9" s="15">
        <f t="shared" si="0"/>
        <v>7.916666666666667</v>
      </c>
      <c r="F9" s="18">
        <v>7.44</v>
      </c>
      <c r="G9" s="2">
        <f t="shared" si="1"/>
        <v>1.24</v>
      </c>
      <c r="H9" s="16">
        <v>0.1</v>
      </c>
      <c r="I9" s="23">
        <f>SUM(O3*H9)</f>
        <v>16464</v>
      </c>
      <c r="J9" s="23">
        <f t="shared" si="2"/>
        <v>686</v>
      </c>
      <c r="K9" s="20">
        <f t="shared" ref="K9:K10" si="4">$T$7*H9</f>
        <v>257.25</v>
      </c>
      <c r="L9" s="15">
        <f t="shared" si="3"/>
        <v>318.99</v>
      </c>
      <c r="T9">
        <f>T7*128</f>
        <v>329280</v>
      </c>
    </row>
    <row r="10" spans="1:20" x14ac:dyDescent="0.3">
      <c r="A10" s="11" t="s">
        <v>22</v>
      </c>
      <c r="B10" s="11" t="s">
        <v>5</v>
      </c>
      <c r="C10" s="12">
        <v>24.8</v>
      </c>
      <c r="D10" s="11">
        <v>3</v>
      </c>
      <c r="E10" s="15">
        <f t="shared" si="0"/>
        <v>8.2666666666666675</v>
      </c>
      <c r="F10" s="18">
        <v>7.44</v>
      </c>
      <c r="G10" s="2">
        <f t="shared" si="1"/>
        <v>1.24</v>
      </c>
      <c r="H10" s="16">
        <v>0.1</v>
      </c>
      <c r="I10" s="24">
        <f>SUM(O3*H10)</f>
        <v>16464</v>
      </c>
      <c r="J10" s="24">
        <f t="shared" si="2"/>
        <v>686</v>
      </c>
      <c r="K10" s="22">
        <f t="shared" si="4"/>
        <v>257.25</v>
      </c>
      <c r="L10" s="19">
        <f t="shared" si="3"/>
        <v>318.99</v>
      </c>
    </row>
    <row r="11" spans="1:20" x14ac:dyDescent="0.3">
      <c r="A11" s="11" t="s">
        <v>23</v>
      </c>
      <c r="B11" s="14"/>
      <c r="C11" s="14"/>
      <c r="D11" s="14"/>
      <c r="E11" s="14"/>
      <c r="F11" s="14"/>
      <c r="H11" s="14"/>
      <c r="I11" s="20">
        <f>SUM(I4:I10)</f>
        <v>164640</v>
      </c>
      <c r="J11" s="20">
        <f>SUM(J4:J7)</f>
        <v>4802</v>
      </c>
      <c r="K11" s="20">
        <f>SUM(K4:K10)</f>
        <v>2572.5</v>
      </c>
      <c r="L11" s="17">
        <f>SUM(L4:L10)</f>
        <v>2901.3512499999997</v>
      </c>
    </row>
    <row r="12" spans="1:20" ht="16.8" x14ac:dyDescent="0.3">
      <c r="A12" s="6"/>
    </row>
    <row r="13" spans="1:20" ht="16.2" thickBot="1" x14ac:dyDescent="0.35">
      <c r="A13" s="11" t="s">
        <v>15</v>
      </c>
      <c r="B13" s="1">
        <v>250</v>
      </c>
      <c r="C13" t="s">
        <v>19</v>
      </c>
      <c r="D13" s="11">
        <v>1000</v>
      </c>
      <c r="K13" t="s">
        <v>66</v>
      </c>
      <c r="L13" s="1">
        <v>2500</v>
      </c>
    </row>
    <row r="14" spans="1:20" ht="16.2" thickBot="1" x14ac:dyDescent="0.35">
      <c r="A14" s="11" t="s">
        <v>16</v>
      </c>
      <c r="B14" s="1">
        <v>3600</v>
      </c>
      <c r="K14" t="s">
        <v>31</v>
      </c>
      <c r="L14" s="10">
        <v>1960</v>
      </c>
      <c r="N14" s="42">
        <v>30000</v>
      </c>
      <c r="O14" t="s">
        <v>65</v>
      </c>
    </row>
    <row r="15" spans="1:20" x14ac:dyDescent="0.3">
      <c r="A15" s="11" t="s">
        <v>24</v>
      </c>
      <c r="B15">
        <f>SUM(J11/100)</f>
        <v>48.02</v>
      </c>
      <c r="D15">
        <v>600</v>
      </c>
      <c r="L15" s="2">
        <f>SUM(L11+L14+L13)</f>
        <v>7361.3512499999997</v>
      </c>
      <c r="N15" s="42">
        <v>30000</v>
      </c>
      <c r="O15">
        <f t="shared" ref="O15:O20" si="5">SUM(N15/24)</f>
        <v>1250</v>
      </c>
    </row>
    <row r="16" spans="1:20" x14ac:dyDescent="0.3">
      <c r="K16" t="s">
        <v>32</v>
      </c>
      <c r="L16" s="38">
        <f>SUM(L15/O3)</f>
        <v>4.4711803024781338E-2</v>
      </c>
      <c r="N16" s="42">
        <v>10000</v>
      </c>
      <c r="O16">
        <f t="shared" si="5"/>
        <v>416.66666666666669</v>
      </c>
    </row>
    <row r="17" spans="1:25" ht="16.8" x14ac:dyDescent="0.3">
      <c r="A17" s="6"/>
      <c r="B17" s="6"/>
      <c r="C17" s="6"/>
      <c r="D17" s="6"/>
      <c r="E17" s="1"/>
      <c r="H17" s="8"/>
      <c r="I17" s="8"/>
      <c r="J17" s="8"/>
      <c r="N17" s="42">
        <v>15000</v>
      </c>
      <c r="O17">
        <f t="shared" si="5"/>
        <v>625</v>
      </c>
    </row>
    <row r="18" spans="1:25" ht="16.8" x14ac:dyDescent="0.3">
      <c r="A18" s="6"/>
      <c r="B18" s="6"/>
      <c r="C18" s="6"/>
      <c r="D18" s="6"/>
      <c r="E18" s="1"/>
      <c r="H18" s="7"/>
      <c r="I18" s="7"/>
      <c r="J18" s="7"/>
      <c r="N18" s="42">
        <v>10000</v>
      </c>
      <c r="O18">
        <f t="shared" si="5"/>
        <v>416.66666666666669</v>
      </c>
    </row>
    <row r="19" spans="1:25" x14ac:dyDescent="0.3">
      <c r="N19" s="42">
        <v>15000</v>
      </c>
      <c r="O19">
        <f t="shared" si="5"/>
        <v>625</v>
      </c>
      <c r="Y19">
        <f>4*12*620</f>
        <v>29760</v>
      </c>
    </row>
    <row r="20" spans="1:25" x14ac:dyDescent="0.3">
      <c r="N20" s="42">
        <v>15000</v>
      </c>
      <c r="O20">
        <f t="shared" si="5"/>
        <v>625</v>
      </c>
    </row>
    <row r="21" spans="1:25" x14ac:dyDescent="0.3">
      <c r="N21" s="35">
        <f>SUM(N14:N20)</f>
        <v>125000</v>
      </c>
      <c r="O21">
        <f>SUM(O14:O20)</f>
        <v>3958.3333333333335</v>
      </c>
      <c r="P21">
        <f>SUM(O21/96)</f>
        <v>41.232638888888893</v>
      </c>
    </row>
    <row r="22" spans="1:25" x14ac:dyDescent="0.3">
      <c r="A22" s="11" t="s">
        <v>14</v>
      </c>
      <c r="B22" s="11"/>
      <c r="C22" s="11" t="s">
        <v>13</v>
      </c>
      <c r="D22" s="13" t="s">
        <v>12</v>
      </c>
      <c r="E22" s="14" t="s">
        <v>11</v>
      </c>
      <c r="F22" s="14" t="s">
        <v>26</v>
      </c>
      <c r="G22" t="s">
        <v>34</v>
      </c>
      <c r="H22" s="14" t="s">
        <v>17</v>
      </c>
      <c r="I22" s="14" t="s">
        <v>20</v>
      </c>
      <c r="J22" s="14" t="s">
        <v>1</v>
      </c>
      <c r="K22" s="14" t="s">
        <v>37</v>
      </c>
      <c r="L22" s="14" t="s">
        <v>18</v>
      </c>
    </row>
    <row r="23" spans="1:25" x14ac:dyDescent="0.3">
      <c r="A23" s="11" t="s">
        <v>6</v>
      </c>
      <c r="B23" s="11" t="s">
        <v>5</v>
      </c>
      <c r="C23" s="12">
        <v>15.5</v>
      </c>
      <c r="D23" s="11">
        <v>3</v>
      </c>
      <c r="E23" s="15">
        <f>SUM(C23/3)</f>
        <v>5.166666666666667</v>
      </c>
      <c r="F23" s="15">
        <v>5.17</v>
      </c>
      <c r="G23" s="2">
        <f>F23/6</f>
        <v>0.86166666666666669</v>
      </c>
      <c r="H23" s="9">
        <v>0.2</v>
      </c>
      <c r="I23" s="23">
        <f t="shared" ref="I23:I29" si="6">SUM($O$3*H23)</f>
        <v>32928</v>
      </c>
      <c r="J23" s="23">
        <f>SUM(I23/24)</f>
        <v>1372</v>
      </c>
      <c r="K23" s="20">
        <f>$T$8*H23</f>
        <v>85.75</v>
      </c>
      <c r="L23" s="15">
        <f>SUM(K23*F23)</f>
        <v>443.32749999999999</v>
      </c>
    </row>
    <row r="24" spans="1:25" x14ac:dyDescent="0.3">
      <c r="A24" s="11" t="s">
        <v>7</v>
      </c>
      <c r="B24" s="11" t="s">
        <v>5</v>
      </c>
      <c r="C24" s="12">
        <v>22.5</v>
      </c>
      <c r="D24" s="11">
        <v>3</v>
      </c>
      <c r="E24" s="15">
        <f t="shared" ref="E24:E29" si="7">SUM(C24/3)</f>
        <v>7.5</v>
      </c>
      <c r="F24" s="14">
        <v>6.72</v>
      </c>
      <c r="G24" s="2">
        <f t="shared" ref="G24:G29" si="8">F24/6</f>
        <v>1.1199999999999999</v>
      </c>
      <c r="H24" s="16">
        <v>0.3</v>
      </c>
      <c r="I24" s="23">
        <f t="shared" si="6"/>
        <v>49392</v>
      </c>
      <c r="J24" s="23">
        <f t="shared" ref="J24:J29" si="9">SUM(I24/24)</f>
        <v>2058</v>
      </c>
      <c r="K24" s="20">
        <f t="shared" ref="K24:K29" si="10">$T$8*H24</f>
        <v>128.625</v>
      </c>
      <c r="L24" s="15">
        <f t="shared" ref="L24:L29" si="11">SUM(K24*F24)</f>
        <v>864.36</v>
      </c>
    </row>
    <row r="25" spans="1:25" x14ac:dyDescent="0.3">
      <c r="A25" s="11" t="s">
        <v>8</v>
      </c>
      <c r="B25" s="11" t="s">
        <v>5</v>
      </c>
      <c r="C25" s="12">
        <v>22.69</v>
      </c>
      <c r="D25" s="11">
        <v>3</v>
      </c>
      <c r="E25" s="15">
        <f t="shared" si="7"/>
        <v>7.5633333333333335</v>
      </c>
      <c r="F25" s="14">
        <v>6.94</v>
      </c>
      <c r="G25" s="2">
        <f t="shared" si="8"/>
        <v>1.1566666666666667</v>
      </c>
      <c r="H25" s="16">
        <v>0.15</v>
      </c>
      <c r="I25" s="23">
        <f t="shared" si="6"/>
        <v>24696</v>
      </c>
      <c r="J25" s="23">
        <f t="shared" si="9"/>
        <v>1029</v>
      </c>
      <c r="K25" s="20">
        <f t="shared" si="10"/>
        <v>64.3125</v>
      </c>
      <c r="L25" s="15">
        <f t="shared" si="11"/>
        <v>446.32875000000001</v>
      </c>
    </row>
    <row r="26" spans="1:25" x14ac:dyDescent="0.3">
      <c r="A26" s="11" t="s">
        <v>9</v>
      </c>
      <c r="B26" s="11" t="s">
        <v>5</v>
      </c>
      <c r="C26" s="12">
        <v>22.55</v>
      </c>
      <c r="D26" s="11">
        <v>3</v>
      </c>
      <c r="E26" s="15">
        <f t="shared" si="7"/>
        <v>7.5166666666666666</v>
      </c>
      <c r="F26" s="18">
        <v>7.44</v>
      </c>
      <c r="G26" s="2">
        <f t="shared" si="8"/>
        <v>1.24</v>
      </c>
      <c r="H26" s="9">
        <v>0.23</v>
      </c>
      <c r="I26" s="23">
        <f t="shared" si="6"/>
        <v>37867.200000000004</v>
      </c>
      <c r="J26" s="23">
        <f t="shared" si="9"/>
        <v>1577.8000000000002</v>
      </c>
      <c r="K26" s="20">
        <f t="shared" si="10"/>
        <v>98.612500000000011</v>
      </c>
      <c r="L26" s="15">
        <f t="shared" si="11"/>
        <v>733.67700000000013</v>
      </c>
    </row>
    <row r="27" spans="1:25" x14ac:dyDescent="0.3">
      <c r="A27" s="11" t="s">
        <v>10</v>
      </c>
      <c r="B27" s="11" t="s">
        <v>5</v>
      </c>
      <c r="C27" s="12">
        <v>25.25</v>
      </c>
      <c r="D27" s="11">
        <v>2</v>
      </c>
      <c r="E27" s="15">
        <f t="shared" si="7"/>
        <v>8.4166666666666661</v>
      </c>
      <c r="F27" s="18">
        <v>7.44</v>
      </c>
      <c r="G27" s="2">
        <f t="shared" si="8"/>
        <v>1.24</v>
      </c>
      <c r="H27" s="16">
        <v>0.04</v>
      </c>
      <c r="I27" s="23">
        <f t="shared" si="6"/>
        <v>6585.6</v>
      </c>
      <c r="J27" s="23">
        <f t="shared" si="9"/>
        <v>274.40000000000003</v>
      </c>
      <c r="K27" s="20">
        <f t="shared" si="10"/>
        <v>17.150000000000002</v>
      </c>
      <c r="L27" s="15">
        <f t="shared" si="11"/>
        <v>127.59600000000002</v>
      </c>
    </row>
    <row r="28" spans="1:25" x14ac:dyDescent="0.3">
      <c r="A28" s="11" t="s">
        <v>21</v>
      </c>
      <c r="B28" s="11" t="s">
        <v>5</v>
      </c>
      <c r="C28" s="12">
        <v>23.75</v>
      </c>
      <c r="D28" s="11">
        <v>3</v>
      </c>
      <c r="E28" s="15">
        <f t="shared" si="7"/>
        <v>7.916666666666667</v>
      </c>
      <c r="F28" s="18">
        <v>7.44</v>
      </c>
      <c r="G28" s="2">
        <f t="shared" si="8"/>
        <v>1.24</v>
      </c>
      <c r="H28" s="16">
        <v>0.04</v>
      </c>
      <c r="I28" s="23">
        <f t="shared" si="6"/>
        <v>6585.6</v>
      </c>
      <c r="J28" s="23">
        <f t="shared" si="9"/>
        <v>274.40000000000003</v>
      </c>
      <c r="K28" s="20">
        <f t="shared" si="10"/>
        <v>17.150000000000002</v>
      </c>
      <c r="L28" s="15">
        <f t="shared" si="11"/>
        <v>127.59600000000002</v>
      </c>
    </row>
    <row r="29" spans="1:25" x14ac:dyDescent="0.3">
      <c r="A29" s="11" t="s">
        <v>22</v>
      </c>
      <c r="B29" s="11" t="s">
        <v>5</v>
      </c>
      <c r="C29" s="12">
        <v>24.8</v>
      </c>
      <c r="D29" s="11">
        <v>3</v>
      </c>
      <c r="E29" s="15">
        <f t="shared" si="7"/>
        <v>8.2666666666666675</v>
      </c>
      <c r="F29" s="18">
        <v>7.44</v>
      </c>
      <c r="G29" s="2">
        <f t="shared" si="8"/>
        <v>1.24</v>
      </c>
      <c r="H29" s="16">
        <v>0.04</v>
      </c>
      <c r="I29" s="23">
        <f t="shared" si="6"/>
        <v>6585.6</v>
      </c>
      <c r="J29" s="24">
        <f t="shared" si="9"/>
        <v>274.40000000000003</v>
      </c>
      <c r="K29" s="20">
        <f t="shared" si="10"/>
        <v>17.150000000000002</v>
      </c>
      <c r="L29" s="15">
        <f t="shared" si="11"/>
        <v>127.59600000000002</v>
      </c>
    </row>
    <row r="30" spans="1:25" x14ac:dyDescent="0.3">
      <c r="A30" s="11" t="s">
        <v>23</v>
      </c>
      <c r="B30" s="14"/>
      <c r="C30" s="14"/>
      <c r="D30" s="14"/>
      <c r="E30" s="14"/>
      <c r="F30" s="14"/>
      <c r="H30" s="14"/>
      <c r="I30" s="20">
        <f>SUM(I23:I29)</f>
        <v>164640.00000000003</v>
      </c>
      <c r="J30" s="20">
        <f>SUM(J23:J26)</f>
        <v>6036.8</v>
      </c>
      <c r="K30" s="20">
        <f>SUM(K23:K29)</f>
        <v>428.74999999999994</v>
      </c>
      <c r="L30" s="17">
        <f>SUM(L23:L29)</f>
        <v>2870.4812500000003</v>
      </c>
    </row>
    <row r="31" spans="1:25" ht="16.8" x14ac:dyDescent="0.3">
      <c r="A31" s="6"/>
    </row>
    <row r="32" spans="1:25" ht="16.2" thickBot="1" x14ac:dyDescent="0.35">
      <c r="A32" s="11" t="s">
        <v>15</v>
      </c>
      <c r="B32" s="1">
        <v>250</v>
      </c>
      <c r="C32" t="s">
        <v>19</v>
      </c>
      <c r="L32" s="1">
        <v>0</v>
      </c>
    </row>
    <row r="33" spans="1:12" ht="16.2" thickBot="1" x14ac:dyDescent="0.35">
      <c r="A33" s="11" t="s">
        <v>16</v>
      </c>
      <c r="B33" s="1">
        <v>3600</v>
      </c>
      <c r="K33" t="s">
        <v>31</v>
      </c>
      <c r="L33" s="10">
        <v>1500</v>
      </c>
    </row>
    <row r="34" spans="1:12" x14ac:dyDescent="0.3">
      <c r="A34" s="11" t="s">
        <v>24</v>
      </c>
      <c r="B34">
        <f>SUM(J30/100)</f>
        <v>60.368000000000002</v>
      </c>
      <c r="L34" s="2">
        <f>SUM(L30+L33+L32)</f>
        <v>4370.4812500000007</v>
      </c>
    </row>
    <row r="35" spans="1:12" x14ac:dyDescent="0.3">
      <c r="K35" t="s">
        <v>32</v>
      </c>
      <c r="L35" s="2">
        <f>SUM(L34/O3)</f>
        <v>2.6545683005344999E-2</v>
      </c>
    </row>
  </sheetData>
  <hyperlinks>
    <hyperlink ref="D3" r:id="rId1" display="https://admin.servicefusion.com/companyInventory" xr:uid="{68942B53-9B70-0349-89B3-6195233C5789}"/>
    <hyperlink ref="D22" r:id="rId2" display="https://admin.servicefusion.com/companyInventory" xr:uid="{41E29AE0-1104-45FE-B42C-9F2A16947D7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7818-A48D-2747-9D52-125420F428E0}">
  <dimension ref="A1:A3"/>
  <sheetViews>
    <sheetView workbookViewId="0">
      <selection activeCell="A11" sqref="A11"/>
    </sheetView>
  </sheetViews>
  <sheetFormatPr defaultColWidth="10.69921875" defaultRowHeight="15.6" x14ac:dyDescent="0.3"/>
  <cols>
    <col min="1" max="1" width="29.19921875" bestFit="1" customWidth="1"/>
  </cols>
  <sheetData>
    <row r="1" spans="1:1" x14ac:dyDescent="0.3">
      <c r="A1" s="40" t="s">
        <v>63</v>
      </c>
    </row>
    <row r="3" spans="1:1" x14ac:dyDescent="0.3">
      <c r="A3" t="s">
        <v>64</v>
      </c>
    </row>
  </sheetData>
  <hyperlinks>
    <hyperlink ref="A1" r:id="rId1" display="mailto:memberservices@resortcom.com" xr:uid="{3699A2EE-0BED-8B46-8D6B-CF91C033C6D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0753-8314-4301-961D-BCAC09BBD90D}">
  <dimension ref="A1:D17"/>
  <sheetViews>
    <sheetView workbookViewId="0">
      <selection activeCell="D12" sqref="D12"/>
    </sheetView>
  </sheetViews>
  <sheetFormatPr defaultColWidth="8.69921875" defaultRowHeight="15.6" x14ac:dyDescent="0.3"/>
  <cols>
    <col min="1" max="1" width="13.5" customWidth="1"/>
    <col min="2" max="2" width="18.19921875" customWidth="1"/>
    <col min="3" max="3" width="12.19921875" customWidth="1"/>
    <col min="4" max="4" width="20" customWidth="1"/>
  </cols>
  <sheetData>
    <row r="1" spans="1:4" x14ac:dyDescent="0.3">
      <c r="A1" t="s">
        <v>46</v>
      </c>
      <c r="B1" t="s">
        <v>3</v>
      </c>
    </row>
    <row r="2" spans="1:4" x14ac:dyDescent="0.3">
      <c r="A2" t="s">
        <v>39</v>
      </c>
      <c r="B2" s="1">
        <v>0.24</v>
      </c>
    </row>
    <row r="3" spans="1:4" x14ac:dyDescent="0.3">
      <c r="A3" t="s">
        <v>0</v>
      </c>
      <c r="B3" s="1">
        <v>0.36</v>
      </c>
    </row>
    <row r="4" spans="1:4" x14ac:dyDescent="0.3">
      <c r="A4" t="s">
        <v>40</v>
      </c>
      <c r="B4" s="1">
        <v>0.02</v>
      </c>
    </row>
    <row r="5" spans="1:4" x14ac:dyDescent="0.3">
      <c r="A5" t="s">
        <v>4</v>
      </c>
      <c r="B5" s="28">
        <v>0.02</v>
      </c>
    </row>
    <row r="6" spans="1:4" x14ac:dyDescent="0.3">
      <c r="B6" s="27">
        <f>SUM(B2:B5)</f>
        <v>0.64</v>
      </c>
    </row>
    <row r="9" spans="1:4" x14ac:dyDescent="0.3">
      <c r="A9" t="s">
        <v>20</v>
      </c>
      <c r="C9" s="35">
        <v>128000</v>
      </c>
      <c r="D9" s="3">
        <f>SUM(C9/24)</f>
        <v>5333.333333333333</v>
      </c>
    </row>
    <row r="10" spans="1:4" x14ac:dyDescent="0.3">
      <c r="A10" t="s">
        <v>57</v>
      </c>
      <c r="B10" s="39">
        <v>0.64</v>
      </c>
      <c r="C10" s="1">
        <f>SUM(B10*C9)</f>
        <v>81920</v>
      </c>
      <c r="D10" s="3"/>
    </row>
    <row r="11" spans="1:4" x14ac:dyDescent="0.3">
      <c r="A11" s="30" t="s">
        <v>41</v>
      </c>
      <c r="B11" s="31">
        <f>SUM(B10*24)</f>
        <v>15.36</v>
      </c>
      <c r="C11" s="1"/>
    </row>
    <row r="12" spans="1:4" x14ac:dyDescent="0.3">
      <c r="A12" t="s">
        <v>42</v>
      </c>
      <c r="B12" s="28">
        <v>32</v>
      </c>
      <c r="C12" s="36">
        <f>SUM(B12*D9)</f>
        <v>170666.66666666666</v>
      </c>
      <c r="D12" s="37"/>
    </row>
    <row r="13" spans="1:4" x14ac:dyDescent="0.3">
      <c r="A13" t="s">
        <v>43</v>
      </c>
      <c r="B13" s="2">
        <f>B12-B11</f>
        <v>16.64</v>
      </c>
      <c r="C13" s="2">
        <f>SUM(C12-C10)</f>
        <v>88746.666666666657</v>
      </c>
    </row>
    <row r="14" spans="1:4" x14ac:dyDescent="0.3">
      <c r="D14" s="3"/>
    </row>
    <row r="15" spans="1:4" x14ac:dyDescent="0.3">
      <c r="A15" t="s">
        <v>44</v>
      </c>
      <c r="B15" s="1">
        <v>4</v>
      </c>
      <c r="D15" s="3"/>
    </row>
    <row r="16" spans="1:4" x14ac:dyDescent="0.3">
      <c r="A16" t="s">
        <v>45</v>
      </c>
      <c r="B16" s="2">
        <v>1.2</v>
      </c>
      <c r="D16" s="3"/>
    </row>
    <row r="17" spans="2:4" x14ac:dyDescent="0.3">
      <c r="B17" s="2">
        <f>B15-B16</f>
        <v>2.8</v>
      </c>
      <c r="C17">
        <v>300</v>
      </c>
      <c r="D17" s="3">
        <f>SUM(B17*C17)</f>
        <v>840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4CC6-E55B-F443-BB9C-9D3F3A88016F}">
  <dimension ref="A1:J18"/>
  <sheetViews>
    <sheetView workbookViewId="0">
      <selection activeCell="H15" sqref="H15"/>
    </sheetView>
  </sheetViews>
  <sheetFormatPr defaultColWidth="11.19921875" defaultRowHeight="15.6" x14ac:dyDescent="0.3"/>
  <cols>
    <col min="1" max="1" width="35.19921875" customWidth="1"/>
    <col min="2" max="2" width="18.19921875" customWidth="1"/>
    <col min="3" max="3" width="15" customWidth="1"/>
    <col min="5" max="5" width="15.69921875" customWidth="1"/>
  </cols>
  <sheetData>
    <row r="1" spans="1:10" x14ac:dyDescent="0.3">
      <c r="A1">
        <v>146500</v>
      </c>
      <c r="B1" t="s">
        <v>3</v>
      </c>
    </row>
    <row r="2" spans="1:10" x14ac:dyDescent="0.3">
      <c r="A2" t="s">
        <v>39</v>
      </c>
      <c r="B2" s="1">
        <v>0.39</v>
      </c>
      <c r="D2">
        <v>164640</v>
      </c>
      <c r="E2" s="1">
        <v>53493.7</v>
      </c>
    </row>
    <row r="3" spans="1:10" x14ac:dyDescent="0.3">
      <c r="A3" t="s">
        <v>0</v>
      </c>
      <c r="B3" s="1">
        <v>0.3</v>
      </c>
      <c r="D3">
        <v>164640</v>
      </c>
      <c r="E3" s="1">
        <v>46440</v>
      </c>
    </row>
    <row r="4" spans="1:10" x14ac:dyDescent="0.3">
      <c r="A4" t="s">
        <v>40</v>
      </c>
      <c r="B4" s="1">
        <v>0.06</v>
      </c>
      <c r="D4">
        <v>164640</v>
      </c>
      <c r="E4" s="1"/>
    </row>
    <row r="5" spans="1:10" x14ac:dyDescent="0.3">
      <c r="A5" t="s">
        <v>4</v>
      </c>
      <c r="B5" s="1">
        <f>SUM(E5/D5)</f>
        <v>6.0738581146744415E-2</v>
      </c>
      <c r="D5">
        <v>164640</v>
      </c>
      <c r="E5" s="1">
        <v>10000</v>
      </c>
    </row>
    <row r="6" spans="1:10" x14ac:dyDescent="0.3">
      <c r="B6" s="27">
        <f>SUM(B2:B5)</f>
        <v>0.81073858114674446</v>
      </c>
    </row>
    <row r="9" spans="1:10" x14ac:dyDescent="0.3">
      <c r="H9">
        <v>0.67</v>
      </c>
      <c r="I9">
        <v>164600</v>
      </c>
      <c r="J9">
        <f>SUM(H9*I9)</f>
        <v>110282</v>
      </c>
    </row>
    <row r="10" spans="1:10" x14ac:dyDescent="0.3">
      <c r="A10" t="s">
        <v>20</v>
      </c>
      <c r="C10" s="35">
        <v>128000</v>
      </c>
      <c r="D10" s="3">
        <f>SUM(C10/24)</f>
        <v>5333.333333333333</v>
      </c>
      <c r="H10">
        <f>SUM(H9*24)</f>
        <v>16.080000000000002</v>
      </c>
    </row>
    <row r="11" spans="1:10" x14ac:dyDescent="0.3">
      <c r="A11" t="s">
        <v>57</v>
      </c>
      <c r="B11" s="39">
        <v>0.74199999999999999</v>
      </c>
      <c r="C11" s="1">
        <f>SUM(B11*C10)</f>
        <v>94976</v>
      </c>
      <c r="D11" s="3"/>
    </row>
    <row r="12" spans="1:10" x14ac:dyDescent="0.3">
      <c r="A12" s="30" t="s">
        <v>41</v>
      </c>
      <c r="B12" s="31">
        <f>SUM(B11*24)</f>
        <v>17.808</v>
      </c>
      <c r="C12" s="1"/>
    </row>
    <row r="13" spans="1:10" x14ac:dyDescent="0.3">
      <c r="A13" t="s">
        <v>42</v>
      </c>
      <c r="B13" s="28">
        <v>32</v>
      </c>
      <c r="C13" s="36">
        <f>SUM(B13*D10)</f>
        <v>170666.66666666666</v>
      </c>
      <c r="D13" s="37"/>
      <c r="G13">
        <f>96*24</f>
        <v>2304</v>
      </c>
      <c r="H13">
        <f>2*0.6</f>
        <v>1.2</v>
      </c>
      <c r="I13">
        <v>24</v>
      </c>
    </row>
    <row r="14" spans="1:10" x14ac:dyDescent="0.3">
      <c r="A14" t="s">
        <v>43</v>
      </c>
      <c r="B14" s="2">
        <f>B13-B12</f>
        <v>14.192</v>
      </c>
      <c r="C14" s="2">
        <f>SUM(C13-C11)</f>
        <v>75690.666666666657</v>
      </c>
    </row>
    <row r="15" spans="1:10" x14ac:dyDescent="0.3">
      <c r="D15" s="3"/>
    </row>
    <row r="16" spans="1:10" x14ac:dyDescent="0.3">
      <c r="A16" t="s">
        <v>44</v>
      </c>
      <c r="B16" s="1">
        <v>4</v>
      </c>
      <c r="D16" s="3"/>
    </row>
    <row r="17" spans="1:4" x14ac:dyDescent="0.3">
      <c r="A17" t="s">
        <v>45</v>
      </c>
      <c r="B17" s="2">
        <v>1.2</v>
      </c>
      <c r="D17" s="3"/>
    </row>
    <row r="18" spans="1:4" x14ac:dyDescent="0.3">
      <c r="B18" s="2">
        <f>B16-B17</f>
        <v>2.8</v>
      </c>
      <c r="C18">
        <v>300</v>
      </c>
      <c r="D18" s="3">
        <f>SUM(B18*C18)</f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NEW PRODUCTION</vt:lpstr>
      <vt:lpstr>Paktech Pricing 2025</vt:lpstr>
      <vt:lpstr>Quantum Run 02-23-26 line items</vt:lpstr>
      <vt:lpstr>Quantum Run 11-06-25 line items</vt:lpstr>
      <vt:lpstr>Quantum Run 04042025 line items</vt:lpstr>
      <vt:lpstr>Quantum Run 04042025</vt:lpstr>
      <vt:lpstr>Post run totals from Cali 06.05</vt:lpstr>
      <vt:lpstr>POSTRUN INVEN FRM CALI 06.05</vt:lpstr>
      <vt:lpstr>DELETE Quantum Run 03-25-2025 </vt:lpstr>
      <vt:lpstr>01-30-2025 Quantum Run</vt:lpstr>
      <vt:lpstr>11-18-2024 Production Run</vt:lpstr>
      <vt:lpstr>Excess worksheet 11-26-2024</vt:lpstr>
      <vt:lpstr>05-10-2024 Production Run</vt:lpstr>
      <vt:lpstr>01-23-204 Production Run</vt:lpstr>
      <vt:lpstr>Metalworks 2024Credit Worksheet</vt:lpstr>
      <vt:lpstr>CANS METALWORKS</vt:lpstr>
      <vt:lpstr>RAW INGREDIENTS</vt:lpstr>
      <vt:lpstr>Notes</vt:lpstr>
      <vt:lpstr>McNnerney</vt:lpstr>
      <vt:lpstr>Better Beverage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Anthony Sloan</cp:lastModifiedBy>
  <dcterms:created xsi:type="dcterms:W3CDTF">2023-03-08T23:06:59Z</dcterms:created>
  <dcterms:modified xsi:type="dcterms:W3CDTF">2026-02-24T20:15:37Z</dcterms:modified>
</cp:coreProperties>
</file>